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F:\Research\Projects\WASH\"/>
    </mc:Choice>
  </mc:AlternateContent>
  <xr:revisionPtr revIDLastSave="0" documentId="13_ncr:1_{C21DD531-216E-4F86-BA08-B82A412EFC3F}" xr6:coauthVersionLast="36" xr6:coauthVersionMax="36" xr10:uidLastSave="{00000000-0000-0000-0000-000000000000}"/>
  <bookViews>
    <workbookView xWindow="0" yWindow="0" windowWidth="10215" windowHeight="7110" xr2:uid="{00000000-000D-0000-FFFF-FFFF00000000}"/>
  </bookViews>
  <sheets>
    <sheet name="Sheet1" sheetId="1" r:id="rId1"/>
    <sheet name="Sheet3" sheetId="3" r:id="rId2"/>
  </sheets>
  <definedNames>
    <definedName name="_xlnm._FilterDatabase" localSheetId="0" hidden="1">Sheet1!$BB$1:$BB$77</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27" i="3" l="1"/>
  <c r="C33" i="3"/>
  <c r="C99" i="3" l="1"/>
  <c r="C10" i="3"/>
  <c r="C251" i="3"/>
  <c r="C243" i="3"/>
  <c r="C236" i="3"/>
  <c r="C231" i="3"/>
  <c r="C195" i="3"/>
  <c r="C187" i="3"/>
  <c r="C180" i="3"/>
  <c r="C175" i="3"/>
  <c r="C164" i="3"/>
  <c r="C169" i="3"/>
  <c r="C157" i="3"/>
  <c r="C151" i="3"/>
  <c r="C144" i="3"/>
  <c r="C138" i="3"/>
  <c r="C133" i="3"/>
  <c r="C128" i="3"/>
  <c r="C122" i="3"/>
  <c r="C111" i="3"/>
  <c r="C105" i="3"/>
  <c r="C92" i="3"/>
  <c r="C78" i="3"/>
  <c r="C71" i="3"/>
  <c r="C63" i="3"/>
  <c r="C49" i="3"/>
  <c r="C43" i="3"/>
  <c r="C16" i="3"/>
  <c r="C116" i="3" l="1"/>
  <c r="C86" i="3"/>
  <c r="C56" i="3"/>
  <c r="C21" i="3"/>
</calcChain>
</file>

<file path=xl/sharedStrings.xml><?xml version="1.0" encoding="utf-8"?>
<sst xmlns="http://schemas.openxmlformats.org/spreadsheetml/2006/main" count="2181" uniqueCount="434">
  <si>
    <t>Section A: Primary Information</t>
  </si>
  <si>
    <t>Sr No.</t>
  </si>
  <si>
    <t xml:space="preserve">School Name </t>
  </si>
  <si>
    <t>Designation</t>
  </si>
  <si>
    <t>Type of School</t>
  </si>
  <si>
    <t>Category of school</t>
  </si>
  <si>
    <t>Usage of school premises</t>
  </si>
  <si>
    <t>Singal/ Duble shift</t>
  </si>
  <si>
    <t>Boys</t>
  </si>
  <si>
    <t>Girls</t>
  </si>
  <si>
    <t>Special students</t>
  </si>
  <si>
    <t>Number of Students enrolled</t>
  </si>
  <si>
    <t>Female</t>
  </si>
  <si>
    <t>Male</t>
  </si>
  <si>
    <t>quantity of water available in the school for drinking</t>
  </si>
  <si>
    <t>How is drinking water stored in the school?</t>
  </si>
  <si>
    <t>Is the quality of drinking water tested?</t>
  </si>
  <si>
    <t>source of water for use in toilets</t>
  </si>
  <si>
    <t>source of water for hand-washing after using toilets?</t>
  </si>
  <si>
    <t>What is the source of water for hand washing before Mid-Day Meal (MDM) / lunch by students and cooks?</t>
  </si>
  <si>
    <t>Does the school have separate toilet units (1 toilet seat and 3 urinals) in working condition for boys and girls?</t>
  </si>
  <si>
    <t>How many toilets in working condition does the school have for boys and girls?</t>
  </si>
  <si>
    <t>How many urinals does the school have for boys and girls</t>
  </si>
  <si>
    <t>Does the school have toilets for Children with Special Needs</t>
  </si>
  <si>
    <t>height and size of toilet and urinal facilities suitable for children of all age groups in the school</t>
  </si>
  <si>
    <t>Yes/No</t>
  </si>
  <si>
    <t>school have separate toilets for Teachers and Staff?</t>
  </si>
  <si>
    <t>Do all the toilets in the school have secure door with latch and cloth hanging hooks?</t>
  </si>
  <si>
    <t>Do all the toilets have roof and proper ventilation for natural light and air?</t>
  </si>
  <si>
    <t>separate dustbins with lid for disposal of sanitary waste?</t>
  </si>
  <si>
    <t>Does the school have facility for handwashing after use of toilet?</t>
  </si>
  <si>
    <t>Does the school provide soaps for hand washing after use of toilets</t>
  </si>
  <si>
    <t>Does the school have facility for handwashing before Mid-Day Meal (MDM) / lunch where a group of children can practice hand washing at the same time?</t>
  </si>
  <si>
    <t>Is there a functional rain water harvesting facility in the school?</t>
  </si>
  <si>
    <t>Does the school have an incinerator  for disposal of sanitary waste</t>
  </si>
  <si>
    <t>Does the school provide soaps for handwashing before Mid-Day Meal (MDM) / lunch?</t>
  </si>
  <si>
    <t>. Do all children wash their hands with soap before mid-day meal (MDM)/ Lunch</t>
  </si>
  <si>
    <t>Is the height of handwashing facilities suitable for children of all age groups in the school</t>
  </si>
  <si>
    <t>Does the school provide dustbins in each class room, kitchen area, toilets and at other appropriate locations for collection of waste</t>
  </si>
  <si>
    <t>How does the school dispose its solid waste?</t>
  </si>
  <si>
    <t>How does the school dispose its liquid waste?</t>
  </si>
  <si>
    <t>. Is the school premises clean and free of water logging</t>
  </si>
  <si>
    <t>. Are the classrooms and teaching areas cleaned daily</t>
  </si>
  <si>
    <t>What is the frequency of cleaning toilets</t>
  </si>
  <si>
    <t>Are toilets cleaned with appropriate cleaning material</t>
  </si>
  <si>
    <t>Does the school have a Child cabinet (Bal Sansad) that takes an active role in promoting sanitation and hygiene practices</t>
  </si>
  <si>
    <t>Who supervises the cleaning and maintenance of the toilets in the school</t>
  </si>
  <si>
    <t>Who supervises the practice of daily handwashing with soap by students and cooks before Mid-Day Meal (MDM) / lunch?</t>
  </si>
  <si>
    <t>money received for school expenses</t>
  </si>
  <si>
    <t>Contact Details of Respondent</t>
  </si>
  <si>
    <t>Address</t>
  </si>
  <si>
    <t>Number of Teachers and Staff</t>
  </si>
  <si>
    <t>Jilha Parishad School</t>
  </si>
  <si>
    <t>Khubawali</t>
  </si>
  <si>
    <t>Name of Respondent</t>
  </si>
  <si>
    <t>Bharti Shantaram Avchat</t>
  </si>
  <si>
    <t>Principal</t>
  </si>
  <si>
    <t>a</t>
  </si>
  <si>
    <t>c</t>
  </si>
  <si>
    <t xml:space="preserve">Total </t>
  </si>
  <si>
    <t>b</t>
  </si>
  <si>
    <t>NA</t>
  </si>
  <si>
    <t>d</t>
  </si>
  <si>
    <t>b (but not covered)</t>
  </si>
  <si>
    <t>d-give it to raddiwala</t>
  </si>
  <si>
    <t>e- give it to animals</t>
  </si>
  <si>
    <t>Is menstrual health management discussed with girl students</t>
  </si>
  <si>
    <t>b, d(teacher)</t>
  </si>
  <si>
    <t>Other comments</t>
  </si>
  <si>
    <t xml:space="preserve">tab is there but no water flow in tab. </t>
  </si>
  <si>
    <t>Mamasaheb Mohol Vidyalay</t>
  </si>
  <si>
    <t>Kule</t>
  </si>
  <si>
    <t>Kundalik Mahadev Metkari</t>
  </si>
  <si>
    <t>f (5-10)</t>
  </si>
  <si>
    <t>Other</t>
  </si>
  <si>
    <t>Swami Vivekanand Vidyalay</t>
  </si>
  <si>
    <t>Asde</t>
  </si>
  <si>
    <t>Mr. Shinde. S. D</t>
  </si>
  <si>
    <t>b,c(Tab),d</t>
  </si>
  <si>
    <t>b,c</t>
  </si>
  <si>
    <t>c 5 tabs</t>
  </si>
  <si>
    <t xml:space="preserve">b  </t>
  </si>
  <si>
    <t>e- sanstha</t>
  </si>
  <si>
    <t>Khamboli</t>
  </si>
  <si>
    <t xml:space="preserve">Mr. Khedekar </t>
  </si>
  <si>
    <t xml:space="preserve">b </t>
  </si>
  <si>
    <t>Shileshwar</t>
  </si>
  <si>
    <t>Anjali Lohar</t>
  </si>
  <si>
    <t>teacher</t>
  </si>
  <si>
    <t>c- 1 tab</t>
  </si>
  <si>
    <t>d- teacher</t>
  </si>
  <si>
    <t xml:space="preserve">शाळेमध्ये रंग रंगोटी असावी. आतून आणि बाहेरून * शाळेमध्ये स्मार्ट t.v असावी </t>
  </si>
  <si>
    <t>Chayal Swati chandrakumar</t>
  </si>
  <si>
    <t>c-2</t>
  </si>
  <si>
    <t>Darwali</t>
  </si>
  <si>
    <t>Sita Baba Valvi, Ingavale sir</t>
  </si>
  <si>
    <t>a (sometimes)</t>
  </si>
  <si>
    <t>c-03</t>
  </si>
  <si>
    <t>Shree. Bhairvnath Vidyalay, Rihe</t>
  </si>
  <si>
    <t>Rihe</t>
  </si>
  <si>
    <t>Mr. Kamte</t>
  </si>
  <si>
    <t>d,e</t>
  </si>
  <si>
    <t>b,d</t>
  </si>
  <si>
    <t>c-14</t>
  </si>
  <si>
    <t xml:space="preserve">e-village local  people funding </t>
  </si>
  <si>
    <t xml:space="preserve">शाळेला कुंपण नाही, शाळा गळकी आहे. सांस्कृतिक हॉल असणे गरजेचे आहे. 
आर्थिक सहाय्य मुलांना मिळावे. उदा. १०वी मुलांना अपेक्षा संच. इत्यादी 
शाळेचे स्वच्छतागृह अतिशय अस्वच्छ आहेत. 
स्वच्छालयांमध्ये पाणी नाही. </t>
  </si>
  <si>
    <t>Rasalwadi</t>
  </si>
  <si>
    <t>Vaishali Barve</t>
  </si>
  <si>
    <t>e,d- filter</t>
  </si>
  <si>
    <t xml:space="preserve">रसाळवाडी मध्ये अंगणवाडी नाही. शिक्षकांना बाहेरील कामे कमी करणे गरजेचे. मुलांसाठी स्वच्छालय आहे परंतु मुले ते वापरत नाही. camwood टॉयलेट चा दरवाजा तुटक असल्यामुळे वापरत नाही. 
स्वच्छालय स्वच्छ करण्यासाठी १५ दिवसातून एकदा बाहेरून व्यक्ती बोलवून साफ केले जाते. दररोज मुले स्वच्छ करतात. </t>
  </si>
  <si>
    <t>Khechare</t>
  </si>
  <si>
    <t>Borhade Ankush</t>
  </si>
  <si>
    <t>Headmaster</t>
  </si>
  <si>
    <t>h- 8 to 10</t>
  </si>
  <si>
    <t xml:space="preserve">d- convert in to wat </t>
  </si>
  <si>
    <t>e-compost</t>
  </si>
  <si>
    <t xml:space="preserve">computer बंद आहेत. त्यांचा पासवर्ड माहित नसल्याने वापरू शकत नाही. 
maths, science लॅब मध्ये पुरेसे साहित्य उपलब्ध नाही. </t>
  </si>
  <si>
    <t>Hinjewadi</t>
  </si>
  <si>
    <t>Mr. Bapu Yele</t>
  </si>
  <si>
    <t>d, e</t>
  </si>
  <si>
    <t>b(only use water)</t>
  </si>
  <si>
    <t>a,b,d</t>
  </si>
  <si>
    <t xml:space="preserve">शाळा मोठी आहे त्यामुळे शाळेला शिपाई ची गरज आहे. 
शाळेत स्वच्छता कर्मचारी नाहीत. 
शाळेला वॉचमॅन ची गरज आहे. 
स्मार्ट टीव्ही , स्मार्ट बोर्ड असावेत. 
शाळेला रंगरंगोटी असावी. 
शाळेतील पाण्याचा फिल्टर चालू आहे परंतु पाण्याची कमतरता आहे. 
स्वच्छतागृहाचे नळ बंद आहेत. 
शाळेत सॅनिटरी इन्सिनरेटर मशीन आहे परंतु ती नादुरुस्त आहे. </t>
  </si>
  <si>
    <t>Mahalunge</t>
  </si>
  <si>
    <t>Mr. Aanand Raut</t>
  </si>
  <si>
    <t>e</t>
  </si>
  <si>
    <t>c- 10</t>
  </si>
  <si>
    <t xml:space="preserve">शाळेमध्ये special teacher नाही special मुलांना शिकविण्यासाठी. स्वच्छता कर्मचारी नाही. त्यामुळे स्वच्छता शिक्षकांना स्वखर्चाने स्वच्छता करून घ्यावी लागते. 
शाळेमध्ये RO फिल्टर नाही. 
computer teaching साठी computer teacher नाही. 
शाळेमध्ये मुलांचे health checkup किमान वर्षातून एकदा व्हावे.  </t>
  </si>
  <si>
    <t>Paud</t>
  </si>
  <si>
    <t>Prabhavati Bhagvat</t>
  </si>
  <si>
    <t>a (no light)</t>
  </si>
  <si>
    <t>a (water linking at school area)</t>
  </si>
  <si>
    <t xml:space="preserve">d  </t>
  </si>
  <si>
    <t>Bhalgudi</t>
  </si>
  <si>
    <t>Mr. Khandagle</t>
  </si>
  <si>
    <t>Katarkhadk</t>
  </si>
  <si>
    <t>Manisha Durge</t>
  </si>
  <si>
    <t>d- filter tab</t>
  </si>
  <si>
    <t>c-6</t>
  </si>
  <si>
    <t>b(but not in use)</t>
  </si>
  <si>
    <t>Hadshi</t>
  </si>
  <si>
    <t>Panjak Jinte</t>
  </si>
  <si>
    <t>c,d</t>
  </si>
  <si>
    <t>C-2</t>
  </si>
  <si>
    <t xml:space="preserve">५००० रुपये दरवर्षी मिळतात  त्यातील १०% रक्कम हि स्वच्छतेविषयक कामासाठी खर्च करू शकतो. 
शाळेला टॉयलेट नाही. त्यामुळे मुलांना बाहेर जावे लागते 
शाळेची इमारत गळकी आहे. </t>
  </si>
  <si>
    <t>Kolvan</t>
  </si>
  <si>
    <t>New English School</t>
  </si>
  <si>
    <t>Bonsode A. G</t>
  </si>
  <si>
    <t>f- 5th to 10th</t>
  </si>
  <si>
    <t>c-8</t>
  </si>
  <si>
    <t xml:space="preserve">शाळेत डस्टबिन आहेत पण कव्हर नाही. 
मुलींचा स्वच्छता गृहामध्ये डस्टबिन नाही. 
RO फिल्टर नादुरुस्त आहे. 
शाळेसमोर पावसाळ्यात चिखल होतो. </t>
  </si>
  <si>
    <t>Nanegoan</t>
  </si>
  <si>
    <t>Sunanda Arun Hagvane</t>
  </si>
  <si>
    <t xml:space="preserve">a  </t>
  </si>
  <si>
    <t>Karmoli</t>
  </si>
  <si>
    <t>Kumbhar Jijabai</t>
  </si>
  <si>
    <t>Kalamshet</t>
  </si>
  <si>
    <t>Sanjiv bagul</t>
  </si>
  <si>
    <t>c-3</t>
  </si>
  <si>
    <t xml:space="preserve">शाळेतील मुलांना गणवेश स्वच्छतेचे training देणे गरजेचे आहे. शाळेला ग्राउंड मध्ये थोड गार्डन असणे गरजेचे. पोषण आहार खोली मध्ये किचन असणे गरजेचे आहे </t>
  </si>
  <si>
    <t>Shelkewadi, Gotavade</t>
  </si>
  <si>
    <t>Kavita Kamble</t>
  </si>
  <si>
    <t>d( no filter)</t>
  </si>
  <si>
    <t xml:space="preserve">फ्लोअरिंग असावे शाळेच्या प्रागंणात , खुप जास्त चिखल होतो. 
पाण्याचा फिल्टर नाही. 
शाळेला रंगरंगोटी असणे गरजेचे </t>
  </si>
  <si>
    <t>Gavdewadi, Lavale</t>
  </si>
  <si>
    <t>Priyanka Bhaskar</t>
  </si>
  <si>
    <t>Walen</t>
  </si>
  <si>
    <t>Jadhav sir</t>
  </si>
  <si>
    <t>Na</t>
  </si>
  <si>
    <t xml:space="preserve">शाळा नवीन बांधली आहे. परंतु टॉयलेट नाही. 
शाळेत फिल्टर नाही </t>
  </si>
  <si>
    <t>Mugavade</t>
  </si>
  <si>
    <t>Jogdand sulochana</t>
  </si>
  <si>
    <t xml:space="preserve">handwashing platform आणि toilet बांधण्याचे काम सुरु आहे. 
पाण्याची सोय शाळेत नसल्याने मुलांना घरून पाणी भरून आणावे लागते. </t>
  </si>
  <si>
    <t>Kondhavale</t>
  </si>
  <si>
    <t>b,c,d</t>
  </si>
  <si>
    <t>a,d</t>
  </si>
  <si>
    <t xml:space="preserve">student घरून पाणी भरून आणतात कधी कधी पाणी नसते.
शाळेमध्ये वॉशरूम आहेत आणि मुले त्यांचा वापर हि करतात 
शाळेमध्ये communication classes,  computer training मुलांना मिळावे </t>
  </si>
  <si>
    <t>Aandeshe</t>
  </si>
  <si>
    <t>Kolte K.P</t>
  </si>
  <si>
    <t>Deshpande Gajanan</t>
  </si>
  <si>
    <t>d- tab</t>
  </si>
  <si>
    <t>b- 1st 7th</t>
  </si>
  <si>
    <t>Mutha</t>
  </si>
  <si>
    <t>S.D. Mohol</t>
  </si>
  <si>
    <t>b,d- water filter</t>
  </si>
  <si>
    <t>b- twice monthly</t>
  </si>
  <si>
    <t xml:space="preserve">वॉश रूम मध्ये नळ फिटिंग नाही. पाईपलाईन फुटली आहे. 
awareness: पाणी, स्वच्छता, बेसिन स्वच्छता मुलांना देणे आवश्यक. 
पत्रे गळके आहे. 
वर्ग गळका आहे. 
शाळेला कुंपण असणे गरजेचे 
 पन्हाळ शाळेच्या मागच्या खिडक्यांना असणे गरजेचे 
शाळेच्या आवारात कॅमरा (CC TV असणे गरजेचे आहे. </t>
  </si>
  <si>
    <t>Vidya Vikas Mandir</t>
  </si>
  <si>
    <t>Aandgoan</t>
  </si>
  <si>
    <t>Kamble Sir</t>
  </si>
  <si>
    <t>Teacher</t>
  </si>
  <si>
    <t>c,e</t>
  </si>
  <si>
    <t>b (but not in working condition)</t>
  </si>
  <si>
    <t>b (some time they wash only water)</t>
  </si>
  <si>
    <t>Kolavade</t>
  </si>
  <si>
    <t>Deshmukh S. R</t>
  </si>
  <si>
    <t>e-5 to 10th</t>
  </si>
  <si>
    <t>b( there is machine but they don’t need)</t>
  </si>
  <si>
    <t>c -1</t>
  </si>
  <si>
    <t>c- teacher &amp; staff</t>
  </si>
  <si>
    <t>Senapati Bapat Madhymik Vidyalay</t>
  </si>
  <si>
    <t>Maale</t>
  </si>
  <si>
    <t>Raju Palaskar</t>
  </si>
  <si>
    <t>f- 5 to 10</t>
  </si>
  <si>
    <t>c-24</t>
  </si>
  <si>
    <t>They have computer lab but not in used. No teacher for computer class</t>
  </si>
  <si>
    <t>Shere</t>
  </si>
  <si>
    <t>Rajashree Chichakar</t>
  </si>
  <si>
    <t>b- water presher is very slow</t>
  </si>
  <si>
    <t>b (not in working condition)</t>
  </si>
  <si>
    <t>e- z.p education department</t>
  </si>
  <si>
    <t xml:space="preserve">पाण्याचा खुप जास्त प्रॉब्लेम त्यामुळे वॉशरूम वापरत नाही. 
शाळेमध्ये कातकरी समाजाची मुले आहेत जी खुप गरीब आहेत तर अशा मुलांसाठी काही करता आले तर बरे होईल. 
मोबाईल ला network नाही. </t>
  </si>
  <si>
    <t>Baburao Rairikar Vidyalay</t>
  </si>
  <si>
    <t>Uravade</t>
  </si>
  <si>
    <t>Mrs. Bade. S. D</t>
  </si>
  <si>
    <t>f- 5-12</t>
  </si>
  <si>
    <t>2- slow learner</t>
  </si>
  <si>
    <t>c-12</t>
  </si>
  <si>
    <t xml:space="preserve">सॅनिटरी वेस्ट ची व्यवस्था नाही. 
इन्सिनरेटर मशीन आहे पण ती वापरत नाही. 
स्वच्छालय स्वच्छ केले जात नाही. </t>
  </si>
  <si>
    <t xml:space="preserve">शाळेतील कॉम्पुटर नादुरुस्त आहे. शाळेत मुलांना येण्या जाण्याची सोय नाही. 
कातकरी मुलांना शैक्षणिक वस्तूंचा अभाव आहे. </t>
  </si>
  <si>
    <t>f-5-10</t>
  </si>
  <si>
    <t>Dakhane</t>
  </si>
  <si>
    <t>Mr. Pundalik Kamble</t>
  </si>
  <si>
    <t>Tukai Madhymik Vidyalay</t>
  </si>
  <si>
    <t>Nere</t>
  </si>
  <si>
    <t>Mrs. Ankush Trupti</t>
  </si>
  <si>
    <t xml:space="preserve">मुली आणि मुले शाळेचे जातो असं सांगून दुसरीकडे जातात. 
ग्रामपंचायतीने सध्या भाडे तत्वावर जिम दिली आहे  ६ महिन्यांसाठी. 
मुले घरून पाणी आणतात आणि ते पाणी हात धुण्यासाठी आणि पिण्यासाठी वापरतात. 
मुलींसाठी इन्सिनरेटर मशीन आहे. पण त्याचा वापर नाही. </t>
  </si>
  <si>
    <t>Jambe</t>
  </si>
  <si>
    <t>Mr. Narendra Balsaraf</t>
  </si>
  <si>
    <t>c-5</t>
  </si>
  <si>
    <t>Savargaon</t>
  </si>
  <si>
    <t>Mrs. Babita Dolare</t>
  </si>
  <si>
    <t>c-1</t>
  </si>
  <si>
    <t xml:space="preserve">जिल्हा परिषदेकडून मिळणाऱ्या निधीचा अभाव असल्यामुळे स्वछतेसारख्या गोष्टींकडे पैसे खर्च करणे शक्य होत नाही 
पाण्याची कमतरता असल्याने स्वच्छालयमध्ये पाणी नाही. 
रास्ता खराब आहे. मुलांना खुप दूर शाळेमध्ये चालत यावे लागते.  </t>
  </si>
  <si>
    <t>Chale</t>
  </si>
  <si>
    <t>Mrs. Bharti Ubale</t>
  </si>
  <si>
    <t>e- sampark NGO</t>
  </si>
  <si>
    <t>No</t>
  </si>
  <si>
    <t>Bhugaon</t>
  </si>
  <si>
    <t>Pable sir</t>
  </si>
  <si>
    <t>e- organization</t>
  </si>
  <si>
    <t xml:space="preserve">शाळामध्ये सॅनेटरी इन्सिनरेटर मशीन आहे. पण बंद आहे. त्याचा फारसा उपयोग केला जात नाही. 
शाळेमधील बरेचसे कॉम्पुटर बंद स्थितीत आहे. </t>
  </si>
  <si>
    <t>a-(1st to 4th )</t>
  </si>
  <si>
    <t xml:space="preserve">स्वछतागृहामध्ये पाणी नाही. 
स्वछतागृहे फक्त शिक्षकांसाठी वापरले जाते. </t>
  </si>
  <si>
    <t xml:space="preserve">school need incinerator machine but they don’t have. * computer repairing need * E- learning needed पाण्याची टाकी like होते. त्यामुळे वापरता येत नाही, त्यामुळे पिण्याचे पाणी मुले घरून आणतात. शाळेत पिण्याच्या पाण्याची सोय नाही. 
टॉयलेट आहेत पण जीर्ण झाले आहेत. 
स्टाफ ला separate टॉयलेट नाही. 
शाळेच्या टेरेस वर parfait wall नाही. किरकोळ दुरुस्ती करणे गरजेचे. 
मुलींना सॅनिटरी इन्सिनरेटर मशीन  नाही. </t>
  </si>
  <si>
    <t>Need English communication for students, maths training * they have computer but they don’t have password.</t>
  </si>
  <si>
    <t xml:space="preserve">The school is under Rashtriya Sarvangin vikas Sanstha * they need to conduct spoken English classes. *  Need adolescents training for girls. *हि technical स्कूल असून इथे मुलांना history, geography हे विषय मुलांना न शिकवता शेती, अभियांत्रिकी, गृहआरोग्य, electrical हे विषय मुलांना शिकवले जातात. </t>
  </si>
  <si>
    <t>b (bucket)</t>
  </si>
  <si>
    <t>b(basin is not there but tab is available)</t>
  </si>
  <si>
    <t>a,d- students filled water bottle regularly</t>
  </si>
  <si>
    <t xml:space="preserve">बेसिन तुटले आहे. रिपेरिंग ची गरज आहे. 
ग्राऊंडवर पाणी साठते. flooring चे  काम अर्धवट आहे. टेरेसवरील flooring तुटले आहे. 
शाळेत computer आणि laptop असणे गरजेचे आहे. 
मुलांना English communication skill असणे गरजेचे आहे. 
पौड ला कातकऱ्यांची वेगळी शाळा आहे. 
पिण्याचे पाणी साठवण्याची कोणतीही सोय शाळेमध्ये नाही </t>
  </si>
  <si>
    <t xml:space="preserve">स्वछतागृह वापरत नाही. repairing ची गरज आहे. खुप मागचा side ला आहे त्यामुळे साप वगैरे टॉयलेट मध्ये बसून राहण्याची भीती वाटते त्यामुळे मुलांना टॉयलेट वापरू देत नाही. 
मुलांना जेवायला बसण्यासाठी चटई नाही. ७-८ बस्कर मुलांना बसण्यासाठी असावेत.
वर्गात light connection नाही . 
शाळेचा शेजारी गटार आहे. ज्याचा त्रास मुलांना होतो.  </t>
  </si>
  <si>
    <t xml:space="preserve">सोलार सिस्टिम करण्याची गरज आहे शाळेमध्ये. 
cleaning material ची गरज आहे. शाळेत लायब्ररी  असायला हवी. 
शाळेत स्मार्ट to नाही. जेवणासाठी मुलांना भोजन कक्ष असणे आवश्यक . 
मुलांना computer असणे गरजेचे आहे. 
शाळेला कंपाऊंड आणि मैदान सपाटीकरण करणे गरजेचे आहे. 
शाळेमध्ये इन्सिनरेटर मशीन आहे.परंतु toilet मध्ये  connection नसल्यामुळे वापरू शकत नाही. </t>
  </si>
  <si>
    <t>Jihad Paris had School</t>
  </si>
  <si>
    <t>e- Indus company</t>
  </si>
  <si>
    <t>Suita Kamble</t>
  </si>
  <si>
    <t xml:space="preserve">need to sport day, need some music instrument, need cleaning and hygienic material for school. स्वच्छतागृहांच्या कड्या निघाल्या आहेत. 
सॅनिटरी इन्सिनरेटर मशीन आहे पण वापरत नाही. आणि बसवले सुद्धा नाही </t>
  </si>
  <si>
    <t>b,d- jar</t>
  </si>
  <si>
    <t>supervisor</t>
  </si>
  <si>
    <t xml:space="preserve">all good, no any difficulties in school. </t>
  </si>
  <si>
    <t xml:space="preserve">मुलांना जेवणासाठी हॉल ची गरज आहे. communication and skill classes  for e.g.  drawing etc. . असणे गरजेचे 
शाळेमध्ये स्मार्ट tv असावा 
स्वच्छतागृहामध्ये युरिनल आहेत पण त्यांना टाईल्स बसविणे गरजेचे आहे. 
फिल्टर आहे परंतु बंद आहे. </t>
  </si>
  <si>
    <t>c- rotary club student member, headmaster</t>
  </si>
  <si>
    <t>e- rotary club</t>
  </si>
  <si>
    <t>Hand wash liquid shortage, rotary club students member suggested to rotary about maintenance there are computer labs and 17 computers are there but not used.</t>
  </si>
  <si>
    <t>a- (very rarely doing cleaning process)</t>
  </si>
  <si>
    <t>e- School development donation</t>
  </si>
  <si>
    <t xml:space="preserve">स्वछतागृहाचे एकच युनिट आहे. अजून एक युनिट असणे गरजेचे 
शाळेमध्ये computer literacy नाही.
 </t>
  </si>
  <si>
    <t xml:space="preserve">Section B: Assessment Categories: Water </t>
  </si>
  <si>
    <t xml:space="preserve">Operation &amp; maintenance </t>
  </si>
  <si>
    <t>Behavior change and capacity building</t>
  </si>
  <si>
    <t xml:space="preserve">पत्र्यावरील पाणी पायऱ्यांवर साठते. त्यामुळे अजून राऊंड पत्रा हवा, ज्याणेंकरून पाणी पाऱ्यावर पडणार नाही. 
पाऱ्यांवर पाणी साठून राहते. त्यामुळे मुले घसरून पडतात. मॅट असावा. 
वर्गात फॅन नाही. 
computer Wi-Fi connection नाही. 
light काँनेक्टिव नाही. light holder खराब असल्यामुळे काहीच चालू नाही करु शकत. 
सध्या नळाला पाणी नाही त्यामुळे पिण्याचे पाणी मुले घरून आणतात. 
वॉशबेसिन नाही . शाळेत handwashing platform नाही. 
डिस्टबीन तुटलेले आहेत </t>
  </si>
  <si>
    <t>a=36</t>
  </si>
  <si>
    <t>b=3</t>
  </si>
  <si>
    <t>Source of drinking water in the school (multiple choice)</t>
  </si>
  <si>
    <t>if the answer is a or b then question no 2 and 4 not aplicable</t>
  </si>
  <si>
    <t>a (no toilet)</t>
  </si>
  <si>
    <t>C-12</t>
  </si>
  <si>
    <t>f</t>
  </si>
  <si>
    <t>h</t>
  </si>
  <si>
    <t>Total</t>
  </si>
  <si>
    <t xml:space="preserve"> e- no toilet</t>
  </si>
  <si>
    <t>b-twice in a year</t>
  </si>
  <si>
    <t>e-Sampark NGO</t>
  </si>
  <si>
    <t>Q5</t>
  </si>
  <si>
    <t>Standard</t>
  </si>
  <si>
    <t>Frequency</t>
  </si>
  <si>
    <t>Percetage</t>
  </si>
  <si>
    <t>1st-5th</t>
  </si>
  <si>
    <t>1st-8th</t>
  </si>
  <si>
    <t>6th-8th</t>
  </si>
  <si>
    <t>6th-10th</t>
  </si>
  <si>
    <t>9th-10th</t>
  </si>
  <si>
    <t>b (water logging in school ground)</t>
  </si>
  <si>
    <t>a - toilet not in used</t>
  </si>
  <si>
    <t>a- not in used</t>
  </si>
  <si>
    <t xml:space="preserve">a </t>
  </si>
  <si>
    <t xml:space="preserve"> Category of school</t>
  </si>
  <si>
    <t>Q-6</t>
  </si>
  <si>
    <t xml:space="preserve">Q 7 </t>
  </si>
  <si>
    <t>Single shift</t>
  </si>
  <si>
    <t>Q 8</t>
  </si>
  <si>
    <t>Q 9</t>
  </si>
  <si>
    <t>Q 1</t>
  </si>
  <si>
    <t>Students do not have access to drinking water</t>
  </si>
  <si>
    <t>Students bring drinking water from home</t>
  </si>
  <si>
    <t>Hand pump / bore well within the school premises</t>
  </si>
  <si>
    <t>Q 2</t>
  </si>
  <si>
    <t xml:space="preserve">If Q 1 ans is (a) or (b), then question number 2-4 are not applicable </t>
  </si>
  <si>
    <t>Q 3</t>
  </si>
  <si>
    <t>Q4</t>
  </si>
  <si>
    <t xml:space="preserve">Q 6 </t>
  </si>
  <si>
    <t>Q 7</t>
  </si>
  <si>
    <t>Q12</t>
  </si>
  <si>
    <t>Q13</t>
  </si>
  <si>
    <t>Q14</t>
  </si>
  <si>
    <t>Q15</t>
  </si>
  <si>
    <t>Q16</t>
  </si>
  <si>
    <t>Yes</t>
  </si>
  <si>
    <t>Q 17</t>
  </si>
  <si>
    <t>Q 18</t>
  </si>
  <si>
    <t>Q 19</t>
  </si>
  <si>
    <t>Q20</t>
  </si>
  <si>
    <t>Q21</t>
  </si>
  <si>
    <t>Q22</t>
  </si>
  <si>
    <t>Q 23</t>
  </si>
  <si>
    <t>Do all children wash their hands with soap before mid-day meal (MDM)/ Lunch</t>
  </si>
  <si>
    <t>Q 24</t>
  </si>
  <si>
    <t>Q 25</t>
  </si>
  <si>
    <t>Q 26</t>
  </si>
  <si>
    <t>Q 27</t>
  </si>
  <si>
    <t>Q28</t>
  </si>
  <si>
    <t>Is the school premises clean and free of water logging</t>
  </si>
  <si>
    <t>Q 29</t>
  </si>
  <si>
    <t>Q 30</t>
  </si>
  <si>
    <t>Q 31</t>
  </si>
  <si>
    <t>Q 32</t>
  </si>
  <si>
    <t>Q33</t>
  </si>
  <si>
    <t>b nonteaching staff</t>
  </si>
  <si>
    <t>Q34</t>
  </si>
  <si>
    <t>Q35</t>
  </si>
  <si>
    <t>Q 36</t>
  </si>
  <si>
    <t>Drinking water stored in the school? (multiple choice)</t>
  </si>
  <si>
    <t>No water available</t>
  </si>
  <si>
    <t>Hand pump/bucket near toilet unit</t>
  </si>
  <si>
    <t>Drums/ cement tanks/ plastic containers with water inside the toilet unit</t>
  </si>
  <si>
    <t>Continuous water supply through taps inside each toilet unit</t>
  </si>
  <si>
    <t>No water</t>
  </si>
  <si>
    <t>Hand pump/bucket near hand washing area</t>
  </si>
  <si>
    <t>Drums/ cement tanks/ plastic containers with water near hand washing area</t>
  </si>
  <si>
    <t>Running water with taps at all the hand washing points</t>
  </si>
  <si>
    <t>other</t>
  </si>
  <si>
    <t>There are no toilet units for boys and girls in the school</t>
  </si>
  <si>
    <t>The same toilet unit is used by boys and girls</t>
  </si>
  <si>
    <t>The all boys/ all girls school has toilet units</t>
  </si>
  <si>
    <t>If co-education, there is at least one toilet unit each for boys and girls</t>
  </si>
  <si>
    <t>Door with latch/bolt only</t>
  </si>
  <si>
    <t>Door with latch/bolt and cloth hanging hooks</t>
  </si>
  <si>
    <t xml:space="preserve">No </t>
  </si>
  <si>
    <t>Wash basin or hand washing point close to the toilet units</t>
  </si>
  <si>
    <t>Wash basin for hand washing either inside or attached to every toilet unit</t>
  </si>
  <si>
    <t>No soaps available</t>
  </si>
  <si>
    <t>Soaps are placed under supervision and are available on demand</t>
  </si>
  <si>
    <t>Soaps are available at all the hand washing points all the time</t>
  </si>
  <si>
    <t>No hand washing facility</t>
  </si>
  <si>
    <t>Yes, with water from hand pump/bucket close to dining area</t>
  </si>
  <si>
    <t>Yes, with water from taps; indicate number of taps</t>
  </si>
  <si>
    <t>Soaps are available at all the handwashing points at all the times</t>
  </si>
  <si>
    <t>No specific measure</t>
  </si>
  <si>
    <t>Pit or municipal/ community bins</t>
  </si>
  <si>
    <t>Septic tank/bio-toilets/Sewer line</t>
  </si>
  <si>
    <t>No specific schedule</t>
  </si>
  <si>
    <t>Once a week</t>
  </si>
  <si>
    <t>Twice in a week</t>
  </si>
  <si>
    <t>Daily</t>
  </si>
  <si>
    <t>Cleaned only with water</t>
  </si>
  <si>
    <t>Cleaned atleast once in a month with soaping agent and disinfectant</t>
  </si>
  <si>
    <t>Cleaned atleast twice in a week with soaping agent and disinfectant</t>
  </si>
  <si>
    <t>Cleaned daily with soaping agent and disinfectant</t>
  </si>
  <si>
    <t>Team of teachers, staff and child cabinet members</t>
  </si>
  <si>
    <t>Not applicable</t>
  </si>
  <si>
    <t>Yes, at least once in 2 months</t>
  </si>
  <si>
    <t>Yes, at least once every month</t>
  </si>
  <si>
    <t>Grampanchayat</t>
  </si>
  <si>
    <t>Jilha parishad</t>
  </si>
  <si>
    <t>no any help for expenses</t>
  </si>
  <si>
    <t xml:space="preserve">teacher and students collect found </t>
  </si>
  <si>
    <t>money received for school expenses (Multiple choice)</t>
  </si>
  <si>
    <t xml:space="preserve"> No soaps available</t>
  </si>
  <si>
    <t xml:space="preserve"> No one in particular</t>
  </si>
  <si>
    <t>Height and size of toilet and urinal facilities suitable for children of all age groups in the school</t>
  </si>
  <si>
    <t>School have separate toilets for Teachers and Staff?</t>
  </si>
  <si>
    <t>No testing</t>
  </si>
  <si>
    <t>Tested once in a year</t>
  </si>
  <si>
    <t>Tested twice in a year</t>
  </si>
  <si>
    <t>More than 1.5 litres per person per day throughout the year</t>
  </si>
  <si>
    <t>All boys's</t>
  </si>
  <si>
    <t>All girls</t>
  </si>
  <si>
    <t>Co-education</t>
  </si>
  <si>
    <t>Duble shift</t>
  </si>
  <si>
    <t>Burned</t>
  </si>
  <si>
    <t>Drain</t>
  </si>
  <si>
    <t>Leach pits</t>
  </si>
  <si>
    <t xml:space="preserve">Female </t>
  </si>
  <si>
    <t>Special child</t>
  </si>
  <si>
    <t>No of students enroll</t>
  </si>
  <si>
    <t>Section B- Water</t>
  </si>
  <si>
    <t>Section A- Demographic</t>
  </si>
  <si>
    <t>Operation &amp; Maintenance</t>
  </si>
  <si>
    <t>Behaviroul Change &amp; Capacity Building</t>
  </si>
  <si>
    <t>Yes, at least once in 3 months</t>
  </si>
  <si>
    <t xml:space="preserve">There is only 1.7% difference in total number of boys and girls. </t>
  </si>
  <si>
    <t>Not required</t>
  </si>
  <si>
    <t>All schools have co habitation</t>
  </si>
  <si>
    <t>Filtered/ packaged/ RO/UV water provided by the school</t>
  </si>
  <si>
    <t>Quantity of water available in the school for drinking</t>
  </si>
  <si>
    <t>Stoar rainwater in a tank through roof rainwater harveting and for that treated water is used for drinking</t>
  </si>
  <si>
    <t>Most of the schools are providing drinking water. But only 30% schools are providing purified drinking water to students and 35.8% use water to drink hand pumps/borewell. The admirable thing is 9.4% schools informed that they store rainwater and purify it for drinking. 24.6 % students carry their own watre bottles (19% students bring their own watre bottles and 5.7% schools do not have access to drinking water hence students have to carry their own watre)</t>
  </si>
  <si>
    <t>Less than 1.5 litres per person per day</t>
  </si>
  <si>
    <t>According to the National Academies of Sciences, Engineering, and Medicine, the average daily fluid requirement of women is about 2.7 litres (11 cups) while for men it is about 3.7 litres (16 cups).Only 28.2% schoolsin formed that they able to provide more than 1.5 lit. drinking water per day but a large number of (46%) schools get less than 1.5 lit per student.</t>
  </si>
  <si>
    <t>No storage system for drinking water</t>
  </si>
  <si>
    <t xml:space="preserve"> Is the drinking water tested for quality?</t>
  </si>
  <si>
    <r>
      <rPr>
        <b/>
        <sz val="12"/>
        <color rgb="FF231F20"/>
        <rFont val="Times New Roman"/>
        <family val="1"/>
      </rPr>
      <t>What is the source of water for use in toilets?</t>
    </r>
    <r>
      <rPr>
        <b/>
        <sz val="12"/>
        <color theme="1"/>
        <rFont val="Times New Roman"/>
        <family val="1"/>
      </rPr>
      <t xml:space="preserve"> (multiple choice)</t>
    </r>
  </si>
  <si>
    <t>Source of water for hand-washing after using toilets?</t>
  </si>
  <si>
    <t>Source of water for hand wash (before Mid-Day Meal (MDM) or lunch</t>
  </si>
  <si>
    <t>?</t>
  </si>
  <si>
    <t>Overall 10% female teachers are more.</t>
  </si>
  <si>
    <t>Tank/Big Clay water container</t>
  </si>
  <si>
    <t>Container/Pitcher with lid and ladle</t>
  </si>
  <si>
    <t>Drinking water is mostly (53.5%) stored in Tank or Big clay water container (Raanjan) or in the Pitcher with lid. But it is dishreatneing to see 25.5 % of schools do not have storage system for drinking water.</t>
  </si>
  <si>
    <t>Drinking water need to be tested for it's quality and 46% schools test it once in a year and 15.4% test it once ina six months. But most dengerous is not testing (23%).</t>
  </si>
  <si>
    <t>It shows there is water available in the toilets but less than half (47.6%) school toilets has continuos water supply and other shools have to stoar the water in drums, tanks, bucket etc. due to water shortage. 2.4%  school toilets do not have water supply and hence they are closed.</t>
  </si>
  <si>
    <t>Most of the schools (71.8%) have running water for hand wash. Only 12.8% schools have are using hand pump or bucket and 5% carry water in their own bottles and use it for handwash. 10.2 % informed that they do not have hand washing system hence because their is no water.</t>
  </si>
  <si>
    <t>not useful</t>
  </si>
  <si>
    <t>Bhare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</si>
</sst>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Times New Roman"/>
      <family val="1"/>
    </font>
    <font>
      <sz val="11"/>
      <color theme="1"/>
      <name val="Times New Roman"/>
      <family val="1"/>
    </font>
    <font>
      <b/>
      <sz val="12"/>
      <color theme="1"/>
      <name val="Times New Roman"/>
      <family val="1"/>
    </font>
    <font>
      <sz val="12"/>
      <color theme="1"/>
      <name val="Times New Roman"/>
      <family val="1"/>
    </font>
    <font>
      <sz val="12"/>
      <color rgb="FF231F20"/>
      <name val="Times New Roman"/>
      <family val="1"/>
    </font>
    <font>
      <b/>
      <sz val="12"/>
      <color rgb="FF231F20"/>
      <name val="Times New Roman"/>
      <family val="1"/>
    </font>
  </fonts>
  <fills count="4">
    <fill>
      <patternFill patternType="none"/>
    </fill>
    <fill>
      <patternFill patternType="gray125"/>
    </fill>
    <fill>
      <patternFill patternType="solid">
        <fgColor rgb="FFFFFF00"/>
        <bgColor indexed="64"/>
      </patternFill>
    </fill>
    <fill>
      <patternFill patternType="solid">
        <fgColor rgb="FFFFC000"/>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diagonal/>
    </border>
  </borders>
  <cellStyleXfs count="1">
    <xf numFmtId="0" fontId="0" fillId="0" borderId="0"/>
  </cellStyleXfs>
  <cellXfs count="79">
    <xf numFmtId="0" fontId="0" fillId="0" borderId="0" xfId="0"/>
    <xf numFmtId="0" fontId="0" fillId="0" borderId="1" xfId="0" applyBorder="1" applyAlignment="1">
      <alignment horizontal="center" vertical="center" wrapText="1"/>
    </xf>
    <xf numFmtId="0" fontId="0" fillId="0" borderId="0" xfId="0" applyAlignment="1">
      <alignment horizontal="center" vertic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1" xfId="0" applyFont="1" applyFill="1" applyBorder="1" applyAlignment="1">
      <alignment horizontal="center" vertical="center" wrapText="1"/>
    </xf>
    <xf numFmtId="0" fontId="1" fillId="0" borderId="6" xfId="0" applyFont="1" applyBorder="1" applyAlignment="1">
      <alignment horizontal="center" vertical="center" wrapText="1"/>
    </xf>
    <xf numFmtId="0" fontId="2" fillId="0" borderId="1" xfId="0" applyFont="1" applyFill="1" applyBorder="1" applyAlignment="1">
      <alignment horizontal="center" vertical="center" wrapText="1"/>
    </xf>
    <xf numFmtId="0" fontId="2" fillId="0" borderId="5" xfId="0" applyFont="1" applyFill="1" applyBorder="1" applyAlignment="1">
      <alignment horizontal="center" vertical="center" wrapText="1"/>
    </xf>
    <xf numFmtId="0" fontId="0" fillId="0" borderId="0" xfId="0" applyFont="1" applyAlignment="1">
      <alignment horizontal="center" vertical="center" wrapText="1"/>
    </xf>
    <xf numFmtId="0" fontId="2" fillId="0" borderId="2" xfId="0" applyFont="1" applyBorder="1" applyAlignment="1">
      <alignment horizontal="center" vertical="center" wrapText="1"/>
    </xf>
    <xf numFmtId="0" fontId="2" fillId="0" borderId="2" xfId="0" applyFont="1" applyFill="1" applyBorder="1" applyAlignment="1">
      <alignment horizontal="center" vertical="center" wrapText="1"/>
    </xf>
    <xf numFmtId="0" fontId="2" fillId="0" borderId="4" xfId="0" applyFont="1" applyBorder="1" applyAlignment="1">
      <alignment horizontal="center" vertical="center" wrapText="1"/>
    </xf>
    <xf numFmtId="0" fontId="0" fillId="0" borderId="10" xfId="0" applyBorder="1" applyAlignment="1">
      <alignment horizontal="center" vertical="center" wrapText="1"/>
    </xf>
    <xf numFmtId="0" fontId="2" fillId="0" borderId="14"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14" xfId="0" applyFont="1" applyFill="1" applyBorder="1" applyAlignment="1">
      <alignment horizontal="center" vertical="center" wrapText="1"/>
    </xf>
    <xf numFmtId="0" fontId="2" fillId="0" borderId="15" xfId="0" applyFont="1" applyFill="1" applyBorder="1" applyAlignment="1">
      <alignment horizontal="center" vertical="center" wrapText="1"/>
    </xf>
    <xf numFmtId="0" fontId="2" fillId="0" borderId="16"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18" xfId="0" applyFont="1" applyBorder="1" applyAlignment="1">
      <alignment horizontal="center" vertical="center" wrapText="1"/>
    </xf>
    <xf numFmtId="0" fontId="2" fillId="0" borderId="11" xfId="0" applyFont="1" applyFill="1" applyBorder="1" applyAlignment="1">
      <alignment horizontal="center" vertical="center" wrapText="1"/>
    </xf>
    <xf numFmtId="0" fontId="2" fillId="0" borderId="12" xfId="0" applyFont="1" applyFill="1" applyBorder="1" applyAlignment="1">
      <alignment horizontal="center" vertical="center" wrapText="1"/>
    </xf>
    <xf numFmtId="0" fontId="2" fillId="0" borderId="13"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0" fillId="0" borderId="0" xfId="0" applyFont="1" applyFill="1" applyAlignment="1">
      <alignment horizontal="center" vertical="center" wrapText="1"/>
    </xf>
    <xf numFmtId="0" fontId="0" fillId="0" borderId="0" xfId="0" applyFill="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4" fillId="0" borderId="0" xfId="0" applyFont="1"/>
    <xf numFmtId="0" fontId="4" fillId="0" borderId="1" xfId="0" applyFont="1" applyBorder="1" applyAlignment="1">
      <alignment horizontal="center" vertical="center"/>
    </xf>
    <xf numFmtId="0" fontId="4" fillId="0" borderId="0" xfId="0" applyFont="1" applyAlignment="1">
      <alignment horizontal="center" vertical="center"/>
    </xf>
    <xf numFmtId="0" fontId="4" fillId="0" borderId="1" xfId="0" applyFont="1" applyFill="1" applyBorder="1" applyAlignment="1">
      <alignment horizontal="center" vertical="center"/>
    </xf>
    <xf numFmtId="0" fontId="4" fillId="0" borderId="1" xfId="0" applyFont="1" applyBorder="1" applyAlignment="1">
      <alignment horizontal="left" vertical="top" wrapText="1"/>
    </xf>
    <xf numFmtId="0" fontId="5" fillId="0" borderId="1" xfId="0" applyFont="1" applyBorder="1" applyAlignment="1">
      <alignment horizontal="left" vertical="top" wrapText="1"/>
    </xf>
    <xf numFmtId="0" fontId="4" fillId="0" borderId="1" xfId="0" applyFont="1" applyBorder="1" applyAlignment="1">
      <alignment horizontal="left" vertical="center" wrapText="1"/>
    </xf>
    <xf numFmtId="0" fontId="3" fillId="0" borderId="1" xfId="0" applyFont="1" applyFill="1" applyBorder="1" applyAlignment="1">
      <alignment horizontal="center" vertical="center" wrapText="1"/>
    </xf>
    <xf numFmtId="0" fontId="5" fillId="0" borderId="1" xfId="0" applyFont="1" applyBorder="1" applyAlignment="1">
      <alignment horizontal="left" vertical="center" wrapText="1"/>
    </xf>
    <xf numFmtId="0" fontId="4" fillId="0" borderId="1" xfId="0" applyFont="1" applyFill="1" applyBorder="1" applyAlignment="1">
      <alignment horizontal="left" vertical="center" wrapText="1"/>
    </xf>
    <xf numFmtId="0" fontId="3" fillId="0" borderId="6" xfId="0" applyFont="1" applyBorder="1" applyAlignment="1">
      <alignment horizontal="center" vertical="center" wrapText="1"/>
    </xf>
    <xf numFmtId="0" fontId="3" fillId="0" borderId="6" xfId="0" applyFont="1" applyBorder="1" applyAlignment="1">
      <alignment horizontal="center" vertical="center"/>
    </xf>
    <xf numFmtId="0" fontId="3" fillId="0" borderId="0" xfId="0" applyFont="1" applyAlignment="1">
      <alignment horizontal="center" vertical="center"/>
    </xf>
    <xf numFmtId="0" fontId="6" fillId="0"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4" fillId="0" borderId="0" xfId="0" applyFont="1" applyFill="1" applyBorder="1" applyAlignment="1">
      <alignment horizontal="center" vertical="center" wrapText="1"/>
    </xf>
    <xf numFmtId="0" fontId="4" fillId="0" borderId="1" xfId="0" applyFont="1" applyBorder="1" applyAlignment="1">
      <alignment horizontal="left" vertical="center"/>
    </xf>
    <xf numFmtId="0" fontId="3" fillId="0" borderId="1" xfId="0" applyFont="1" applyBorder="1" applyAlignment="1">
      <alignment horizontal="left" vertical="center"/>
    </xf>
    <xf numFmtId="0" fontId="3" fillId="0" borderId="1" xfId="0" applyFont="1" applyFill="1" applyBorder="1" applyAlignment="1">
      <alignment horizontal="left" vertical="center"/>
    </xf>
    <xf numFmtId="0" fontId="5" fillId="0" borderId="1" xfId="0" applyFont="1" applyFill="1" applyBorder="1" applyAlignment="1">
      <alignment horizontal="left" vertical="center" wrapText="1"/>
    </xf>
    <xf numFmtId="0" fontId="4" fillId="0" borderId="0" xfId="0" applyFont="1" applyFill="1" applyAlignment="1">
      <alignment horizontal="center" vertical="center"/>
    </xf>
    <xf numFmtId="0" fontId="2" fillId="0" borderId="0" xfId="0" applyFont="1" applyBorder="1" applyAlignment="1">
      <alignment horizontal="center" vertical="center"/>
    </xf>
    <xf numFmtId="0" fontId="1" fillId="0" borderId="0" xfId="0" applyFont="1" applyBorder="1" applyAlignment="1">
      <alignment horizontal="center" vertical="center"/>
    </xf>
    <xf numFmtId="0" fontId="3" fillId="0" borderId="1" xfId="0" applyFont="1" applyBorder="1" applyAlignment="1">
      <alignment vertical="center" wrapText="1"/>
    </xf>
    <xf numFmtId="0" fontId="4" fillId="0" borderId="1" xfId="0" applyFont="1" applyBorder="1" applyAlignment="1">
      <alignment vertical="center" wrapText="1"/>
    </xf>
    <xf numFmtId="0" fontId="4" fillId="0" borderId="0" xfId="0" applyFont="1" applyBorder="1" applyAlignment="1">
      <alignment horizontal="center" vertical="center"/>
    </xf>
    <xf numFmtId="0" fontId="3" fillId="0" borderId="0" xfId="0" applyFont="1" applyBorder="1" applyAlignment="1">
      <alignment horizontal="center" vertical="center"/>
    </xf>
    <xf numFmtId="0" fontId="6" fillId="0" borderId="0" xfId="0" applyFont="1" applyFill="1" applyBorder="1" applyAlignment="1">
      <alignment horizontal="center" vertical="center" wrapText="1"/>
    </xf>
    <xf numFmtId="0" fontId="3" fillId="0" borderId="19"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1" xfId="0" applyFont="1" applyFill="1" applyBorder="1" applyAlignment="1">
      <alignment horizontal="left" vertical="center"/>
    </xf>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5"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 xfId="0" applyFont="1" applyBorder="1" applyAlignment="1">
      <alignment horizontal="center" vertical="center" wrapText="1"/>
    </xf>
    <xf numFmtId="0" fontId="3" fillId="3" borderId="0" xfId="0" applyFont="1" applyFill="1" applyAlignment="1">
      <alignment horizontal="center" vertical="center"/>
    </xf>
    <xf numFmtId="0" fontId="3" fillId="3" borderId="8" xfId="0" applyFont="1" applyFill="1" applyBorder="1" applyAlignment="1">
      <alignment horizontal="center" vertical="center"/>
    </xf>
    <xf numFmtId="0" fontId="4" fillId="0" borderId="0" xfId="0" applyFont="1" applyAlignment="1">
      <alignment horizontal="left" vertical="top"/>
    </xf>
    <xf numFmtId="0" fontId="4" fillId="0" borderId="0" xfId="0" applyFont="1" applyAlignment="1">
      <alignment horizontal="left" vertical="top" wrapText="1"/>
    </xf>
    <xf numFmtId="0" fontId="4" fillId="0" borderId="0"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77"/>
  <sheetViews>
    <sheetView tabSelected="1" zoomScale="80" zoomScaleNormal="80" workbookViewId="0">
      <pane ySplit="2" topLeftCell="A41" activePane="bottomLeft" state="frozen"/>
      <selection activeCell="AQ2" sqref="AQ2"/>
      <selection pane="bottomLeft" activeCell="D1" sqref="D1:P1"/>
    </sheetView>
  </sheetViews>
  <sheetFormatPr defaultColWidth="12.85546875" defaultRowHeight="15" x14ac:dyDescent="0.25"/>
  <cols>
    <col min="1" max="54" width="12.85546875" style="2"/>
    <col min="55" max="55" width="29.140625" style="2" customWidth="1"/>
    <col min="56" max="16384" width="12.85546875" style="2"/>
  </cols>
  <sheetData>
    <row r="1" spans="1:56" ht="59.25" customHeight="1" x14ac:dyDescent="0.25">
      <c r="A1" s="3"/>
      <c r="B1" s="3"/>
      <c r="C1" s="3"/>
      <c r="D1" s="64" t="s">
        <v>0</v>
      </c>
      <c r="E1" s="65"/>
      <c r="F1" s="65"/>
      <c r="G1" s="65"/>
      <c r="H1" s="65"/>
      <c r="I1" s="65"/>
      <c r="J1" s="65"/>
      <c r="K1" s="65"/>
      <c r="L1" s="65"/>
      <c r="M1" s="65"/>
      <c r="N1" s="65"/>
      <c r="O1" s="65"/>
      <c r="P1" s="66"/>
      <c r="Q1" s="67" t="s">
        <v>267</v>
      </c>
      <c r="R1" s="68"/>
      <c r="S1" s="68"/>
      <c r="T1" s="68"/>
      <c r="U1" s="68"/>
      <c r="V1" s="68"/>
      <c r="W1" s="68"/>
      <c r="X1" s="68"/>
      <c r="Y1" s="68"/>
      <c r="Z1" s="68"/>
      <c r="AA1" s="68"/>
      <c r="AB1" s="68"/>
      <c r="AC1" s="68"/>
      <c r="AD1" s="68"/>
      <c r="AE1" s="68"/>
      <c r="AF1" s="68"/>
      <c r="AG1" s="68"/>
      <c r="AH1" s="68"/>
      <c r="AI1" s="68"/>
      <c r="AJ1" s="68"/>
      <c r="AK1" s="68"/>
      <c r="AL1" s="68"/>
      <c r="AM1" s="68"/>
      <c r="AN1" s="68"/>
      <c r="AO1" s="68"/>
      <c r="AP1" s="69"/>
      <c r="AQ1" s="70" t="s">
        <v>268</v>
      </c>
      <c r="AR1" s="71"/>
      <c r="AS1" s="71"/>
      <c r="AT1" s="71"/>
      <c r="AU1" s="71"/>
      <c r="AV1" s="71"/>
      <c r="AW1" s="72"/>
      <c r="AX1" s="70" t="s">
        <v>269</v>
      </c>
      <c r="AY1" s="71"/>
      <c r="AZ1" s="71"/>
      <c r="BA1" s="71"/>
      <c r="BB1" s="72"/>
      <c r="BC1" s="4"/>
    </row>
    <row r="2" spans="1:56" x14ac:dyDescent="0.25">
      <c r="A2" s="3"/>
      <c r="B2" s="3"/>
      <c r="C2" s="3">
        <v>1</v>
      </c>
      <c r="D2" s="3">
        <v>2</v>
      </c>
      <c r="E2" s="3">
        <v>3</v>
      </c>
      <c r="F2" s="3">
        <v>4</v>
      </c>
      <c r="G2" s="3">
        <v>5</v>
      </c>
      <c r="H2" s="3">
        <v>6</v>
      </c>
      <c r="I2" s="3">
        <v>7</v>
      </c>
      <c r="J2" s="73">
        <v>8</v>
      </c>
      <c r="K2" s="73"/>
      <c r="L2" s="73"/>
      <c r="M2" s="73"/>
      <c r="N2" s="70">
        <v>9</v>
      </c>
      <c r="O2" s="71"/>
      <c r="P2" s="72"/>
      <c r="Q2" s="3">
        <v>1</v>
      </c>
      <c r="R2" s="3">
        <v>2</v>
      </c>
      <c r="S2" s="3">
        <v>3</v>
      </c>
      <c r="T2" s="3">
        <v>4</v>
      </c>
      <c r="U2" s="3">
        <v>5</v>
      </c>
      <c r="V2" s="3">
        <v>6</v>
      </c>
      <c r="W2" s="3">
        <v>7</v>
      </c>
      <c r="X2" s="3">
        <v>8</v>
      </c>
      <c r="Y2" s="3">
        <v>9</v>
      </c>
      <c r="Z2" s="73">
        <v>10</v>
      </c>
      <c r="AA2" s="73"/>
      <c r="AB2" s="73">
        <v>11</v>
      </c>
      <c r="AC2" s="73"/>
      <c r="AD2" s="3">
        <v>12</v>
      </c>
      <c r="AE2" s="3">
        <v>13</v>
      </c>
      <c r="AF2" s="3">
        <v>14</v>
      </c>
      <c r="AG2" s="3">
        <v>15</v>
      </c>
      <c r="AH2" s="3">
        <v>16</v>
      </c>
      <c r="AI2" s="3">
        <v>17</v>
      </c>
      <c r="AJ2" s="3">
        <v>18</v>
      </c>
      <c r="AK2" s="3">
        <v>19</v>
      </c>
      <c r="AL2" s="3">
        <v>20</v>
      </c>
      <c r="AM2" s="3">
        <v>21</v>
      </c>
      <c r="AN2" s="3">
        <v>22</v>
      </c>
      <c r="AO2" s="3">
        <v>23</v>
      </c>
      <c r="AP2" s="3">
        <v>24</v>
      </c>
      <c r="AQ2" s="3">
        <v>25</v>
      </c>
      <c r="AR2" s="3">
        <v>26</v>
      </c>
      <c r="AS2" s="3">
        <v>27</v>
      </c>
      <c r="AT2" s="3">
        <v>28</v>
      </c>
      <c r="AU2" s="3">
        <v>29</v>
      </c>
      <c r="AV2" s="3">
        <v>30</v>
      </c>
      <c r="AW2" s="3">
        <v>31</v>
      </c>
      <c r="AX2" s="3">
        <v>32</v>
      </c>
      <c r="AY2" s="3">
        <v>33</v>
      </c>
      <c r="AZ2" s="3">
        <v>34</v>
      </c>
      <c r="BA2" s="3">
        <v>35</v>
      </c>
      <c r="BB2" s="3">
        <v>36</v>
      </c>
      <c r="BC2" s="4"/>
    </row>
    <row r="3" spans="1:56" ht="27.75" customHeight="1" x14ac:dyDescent="0.25">
      <c r="A3" s="3" t="s">
        <v>1</v>
      </c>
      <c r="B3" s="3" t="s">
        <v>2</v>
      </c>
      <c r="C3" s="3" t="s">
        <v>50</v>
      </c>
      <c r="D3" s="3" t="s">
        <v>54</v>
      </c>
      <c r="E3" s="3" t="s">
        <v>3</v>
      </c>
      <c r="F3" s="3" t="s">
        <v>49</v>
      </c>
      <c r="G3" s="3" t="s">
        <v>5</v>
      </c>
      <c r="H3" s="3" t="s">
        <v>4</v>
      </c>
      <c r="I3" s="3" t="s">
        <v>6</v>
      </c>
      <c r="J3" s="73" t="s">
        <v>11</v>
      </c>
      <c r="K3" s="73"/>
      <c r="L3" s="73"/>
      <c r="M3" s="73"/>
      <c r="N3" s="70" t="s">
        <v>51</v>
      </c>
      <c r="O3" s="71"/>
      <c r="P3" s="72"/>
      <c r="Q3" s="3" t="s">
        <v>273</v>
      </c>
      <c r="R3" s="3" t="s">
        <v>14</v>
      </c>
      <c r="S3" s="3" t="s">
        <v>15</v>
      </c>
      <c r="T3" s="3" t="s">
        <v>16</v>
      </c>
      <c r="U3" s="3" t="s">
        <v>17</v>
      </c>
      <c r="V3" s="3" t="s">
        <v>18</v>
      </c>
      <c r="W3" s="3" t="s">
        <v>19</v>
      </c>
      <c r="X3" s="3" t="s">
        <v>33</v>
      </c>
      <c r="Y3" s="3" t="s">
        <v>20</v>
      </c>
      <c r="Z3" s="73" t="s">
        <v>21</v>
      </c>
      <c r="AA3" s="73"/>
      <c r="AB3" s="73" t="s">
        <v>22</v>
      </c>
      <c r="AC3" s="73"/>
      <c r="AD3" s="3" t="s">
        <v>23</v>
      </c>
      <c r="AE3" s="3" t="s">
        <v>24</v>
      </c>
      <c r="AF3" s="3" t="s">
        <v>26</v>
      </c>
      <c r="AG3" s="3" t="s">
        <v>27</v>
      </c>
      <c r="AH3" s="3" t="s">
        <v>28</v>
      </c>
      <c r="AI3" s="3" t="s">
        <v>29</v>
      </c>
      <c r="AJ3" s="3" t="s">
        <v>34</v>
      </c>
      <c r="AK3" s="3" t="s">
        <v>30</v>
      </c>
      <c r="AL3" s="3" t="s">
        <v>31</v>
      </c>
      <c r="AM3" s="3" t="s">
        <v>32</v>
      </c>
      <c r="AN3" s="3" t="s">
        <v>35</v>
      </c>
      <c r="AO3" s="3" t="s">
        <v>36</v>
      </c>
      <c r="AP3" s="3" t="s">
        <v>37</v>
      </c>
      <c r="AQ3" s="3" t="s">
        <v>38</v>
      </c>
      <c r="AR3" s="3" t="s">
        <v>39</v>
      </c>
      <c r="AS3" s="3" t="s">
        <v>40</v>
      </c>
      <c r="AT3" s="3" t="s">
        <v>41</v>
      </c>
      <c r="AU3" s="3" t="s">
        <v>42</v>
      </c>
      <c r="AV3" s="3" t="s">
        <v>43</v>
      </c>
      <c r="AW3" s="3" t="s">
        <v>44</v>
      </c>
      <c r="AX3" s="3" t="s">
        <v>45</v>
      </c>
      <c r="AY3" s="3" t="s">
        <v>46</v>
      </c>
      <c r="AZ3" s="3" t="s">
        <v>47</v>
      </c>
      <c r="BA3" s="3" t="s">
        <v>66</v>
      </c>
      <c r="BB3" s="3" t="s">
        <v>48</v>
      </c>
      <c r="BC3" s="5" t="s">
        <v>68</v>
      </c>
    </row>
    <row r="4" spans="1:56" ht="86.25" thickBot="1" x14ac:dyDescent="0.3">
      <c r="A4" s="6"/>
      <c r="B4" s="6"/>
      <c r="C4" s="6"/>
      <c r="D4" s="6"/>
      <c r="E4" s="6"/>
      <c r="F4" s="6"/>
      <c r="G4" s="6"/>
      <c r="H4" s="6"/>
      <c r="I4" s="6" t="s">
        <v>7</v>
      </c>
      <c r="J4" s="6" t="s">
        <v>8</v>
      </c>
      <c r="K4" s="6" t="s">
        <v>9</v>
      </c>
      <c r="L4" s="6" t="s">
        <v>10</v>
      </c>
      <c r="M4" s="6" t="s">
        <v>59</v>
      </c>
      <c r="N4" s="6" t="s">
        <v>12</v>
      </c>
      <c r="O4" s="6" t="s">
        <v>13</v>
      </c>
      <c r="P4" s="6" t="s">
        <v>74</v>
      </c>
      <c r="Q4" s="6"/>
      <c r="R4" s="6" t="s">
        <v>274</v>
      </c>
      <c r="S4" s="6"/>
      <c r="T4" s="6"/>
      <c r="U4" s="6"/>
      <c r="V4" s="6"/>
      <c r="W4" s="6"/>
      <c r="X4" s="6"/>
      <c r="Y4" s="6"/>
      <c r="Z4" s="6" t="s">
        <v>13</v>
      </c>
      <c r="AA4" s="6" t="s">
        <v>12</v>
      </c>
      <c r="AB4" s="6" t="s">
        <v>13</v>
      </c>
      <c r="AC4" s="6" t="s">
        <v>12</v>
      </c>
      <c r="AD4" s="6"/>
      <c r="AE4" s="6" t="s">
        <v>25</v>
      </c>
      <c r="AF4" s="6"/>
      <c r="AG4" s="6"/>
      <c r="AH4" s="6"/>
      <c r="AI4" s="6"/>
      <c r="AJ4" s="6"/>
      <c r="AK4" s="6"/>
      <c r="AL4" s="6"/>
      <c r="AM4" s="6"/>
      <c r="AN4" s="6"/>
      <c r="AO4" s="6"/>
      <c r="AP4" s="6"/>
      <c r="AQ4" s="6"/>
      <c r="AR4" s="6"/>
      <c r="AS4" s="6"/>
      <c r="AT4" s="6"/>
      <c r="AU4" s="6"/>
      <c r="AV4" s="6"/>
      <c r="AW4" s="6"/>
      <c r="AX4" s="6"/>
      <c r="AY4" s="6"/>
      <c r="AZ4" s="6"/>
      <c r="BA4" s="6"/>
      <c r="BB4" s="6"/>
      <c r="BC4" s="4"/>
    </row>
    <row r="5" spans="1:56" s="26" customFormat="1" ht="45" x14ac:dyDescent="0.25">
      <c r="A5" s="7">
        <v>1</v>
      </c>
      <c r="B5" s="7" t="s">
        <v>52</v>
      </c>
      <c r="C5" s="7" t="s">
        <v>53</v>
      </c>
      <c r="D5" s="7" t="s">
        <v>55</v>
      </c>
      <c r="E5" s="7" t="s">
        <v>56</v>
      </c>
      <c r="F5" s="7">
        <v>8390669935</v>
      </c>
      <c r="G5" s="7" t="s">
        <v>242</v>
      </c>
      <c r="H5" s="7" t="s">
        <v>58</v>
      </c>
      <c r="I5" s="11" t="s">
        <v>57</v>
      </c>
      <c r="J5" s="21">
        <v>4</v>
      </c>
      <c r="K5" s="22">
        <v>3</v>
      </c>
      <c r="L5" s="22">
        <v>0</v>
      </c>
      <c r="M5" s="23">
        <v>7</v>
      </c>
      <c r="N5" s="21">
        <v>1</v>
      </c>
      <c r="O5" s="22">
        <v>1</v>
      </c>
      <c r="P5" s="23">
        <v>0</v>
      </c>
      <c r="Q5" s="24" t="s">
        <v>60</v>
      </c>
      <c r="R5" s="7" t="s">
        <v>61</v>
      </c>
      <c r="S5" s="7" t="s">
        <v>57</v>
      </c>
      <c r="T5" s="7" t="s">
        <v>60</v>
      </c>
      <c r="U5" s="7" t="s">
        <v>62</v>
      </c>
      <c r="V5" s="7" t="s">
        <v>58</v>
      </c>
      <c r="W5" s="7" t="s">
        <v>62</v>
      </c>
      <c r="X5" s="7" t="s">
        <v>57</v>
      </c>
      <c r="Y5" s="7" t="s">
        <v>58</v>
      </c>
      <c r="Z5" s="7">
        <v>1</v>
      </c>
      <c r="AA5" s="7">
        <v>1</v>
      </c>
      <c r="AB5" s="7">
        <v>0</v>
      </c>
      <c r="AC5" s="7">
        <v>1</v>
      </c>
      <c r="AD5" s="7" t="s">
        <v>58</v>
      </c>
      <c r="AE5" s="7" t="s">
        <v>57</v>
      </c>
      <c r="AF5" s="7" t="s">
        <v>60</v>
      </c>
      <c r="AG5" s="7" t="s">
        <v>60</v>
      </c>
      <c r="AH5" s="7" t="s">
        <v>57</v>
      </c>
      <c r="AI5" s="7" t="s">
        <v>61</v>
      </c>
      <c r="AJ5" s="7" t="s">
        <v>57</v>
      </c>
      <c r="AK5" s="7" t="s">
        <v>60</v>
      </c>
      <c r="AL5" s="7" t="s">
        <v>58</v>
      </c>
      <c r="AM5" s="7" t="s">
        <v>60</v>
      </c>
      <c r="AN5" s="7" t="s">
        <v>58</v>
      </c>
      <c r="AO5" s="7" t="s">
        <v>60</v>
      </c>
      <c r="AP5" s="7" t="s">
        <v>60</v>
      </c>
      <c r="AQ5" s="7" t="s">
        <v>63</v>
      </c>
      <c r="AR5" s="7" t="s">
        <v>64</v>
      </c>
      <c r="AS5" s="7" t="s">
        <v>65</v>
      </c>
      <c r="AT5" s="7" t="s">
        <v>60</v>
      </c>
      <c r="AU5" s="7" t="s">
        <v>60</v>
      </c>
      <c r="AV5" s="7" t="s">
        <v>62</v>
      </c>
      <c r="AW5" s="7" t="s">
        <v>62</v>
      </c>
      <c r="AX5" s="7" t="s">
        <v>60</v>
      </c>
      <c r="AY5" s="7" t="s">
        <v>60</v>
      </c>
      <c r="AZ5" s="7" t="s">
        <v>60</v>
      </c>
      <c r="BA5" s="7" t="s">
        <v>57</v>
      </c>
      <c r="BB5" s="7" t="s">
        <v>67</v>
      </c>
      <c r="BC5" s="7" t="s">
        <v>69</v>
      </c>
      <c r="BD5" s="25"/>
    </row>
    <row r="6" spans="1:56" s="26" customFormat="1" ht="240" x14ac:dyDescent="0.25">
      <c r="A6" s="7">
        <v>2</v>
      </c>
      <c r="B6" s="7" t="s">
        <v>70</v>
      </c>
      <c r="C6" s="7" t="s">
        <v>71</v>
      </c>
      <c r="D6" s="7" t="s">
        <v>72</v>
      </c>
      <c r="E6" s="7" t="s">
        <v>56</v>
      </c>
      <c r="F6" s="7">
        <v>9922057892</v>
      </c>
      <c r="G6" s="7" t="s">
        <v>73</v>
      </c>
      <c r="H6" s="7" t="s">
        <v>58</v>
      </c>
      <c r="I6" s="11" t="s">
        <v>57</v>
      </c>
      <c r="J6" s="16">
        <v>65</v>
      </c>
      <c r="K6" s="7">
        <v>54</v>
      </c>
      <c r="L6" s="7">
        <v>0</v>
      </c>
      <c r="M6" s="17">
        <v>119</v>
      </c>
      <c r="N6" s="16">
        <v>2</v>
      </c>
      <c r="O6" s="7">
        <v>5</v>
      </c>
      <c r="P6" s="17">
        <v>4</v>
      </c>
      <c r="Q6" s="24" t="s">
        <v>57</v>
      </c>
      <c r="R6" s="7" t="s">
        <v>61</v>
      </c>
      <c r="S6" s="7" t="s">
        <v>58</v>
      </c>
      <c r="T6" s="7" t="s">
        <v>57</v>
      </c>
      <c r="U6" s="7" t="s">
        <v>60</v>
      </c>
      <c r="V6" s="7" t="s">
        <v>58</v>
      </c>
      <c r="W6" s="7" t="s">
        <v>62</v>
      </c>
      <c r="X6" s="7" t="s">
        <v>57</v>
      </c>
      <c r="Y6" s="7" t="s">
        <v>58</v>
      </c>
      <c r="Z6" s="7">
        <v>1</v>
      </c>
      <c r="AA6" s="7">
        <v>1</v>
      </c>
      <c r="AB6" s="7">
        <v>4</v>
      </c>
      <c r="AC6" s="7">
        <v>4</v>
      </c>
      <c r="AD6" s="7" t="s">
        <v>58</v>
      </c>
      <c r="AE6" s="7" t="s">
        <v>57</v>
      </c>
      <c r="AF6" s="7" t="s">
        <v>60</v>
      </c>
      <c r="AG6" s="7" t="s">
        <v>60</v>
      </c>
      <c r="AH6" s="7" t="s">
        <v>60</v>
      </c>
      <c r="AI6" s="7" t="s">
        <v>57</v>
      </c>
      <c r="AJ6" s="7" t="s">
        <v>57</v>
      </c>
      <c r="AK6" s="7" t="s">
        <v>58</v>
      </c>
      <c r="AL6" s="7" t="s">
        <v>58</v>
      </c>
      <c r="AM6" s="7" t="s">
        <v>58</v>
      </c>
      <c r="AN6" s="7" t="s">
        <v>58</v>
      </c>
      <c r="AO6" s="7" t="s">
        <v>60</v>
      </c>
      <c r="AP6" s="7" t="s">
        <v>60</v>
      </c>
      <c r="AQ6" s="7" t="s">
        <v>57</v>
      </c>
      <c r="AR6" s="7" t="s">
        <v>60</v>
      </c>
      <c r="AS6" s="7" t="s">
        <v>57</v>
      </c>
      <c r="AT6" s="7" t="s">
        <v>292</v>
      </c>
      <c r="AU6" s="7" t="s">
        <v>60</v>
      </c>
      <c r="AV6" s="7" t="s">
        <v>62</v>
      </c>
      <c r="AW6" s="7" t="s">
        <v>58</v>
      </c>
      <c r="AX6" s="7" t="s">
        <v>60</v>
      </c>
      <c r="AY6" s="7" t="s">
        <v>60</v>
      </c>
      <c r="AZ6" s="7" t="s">
        <v>60</v>
      </c>
      <c r="BA6" s="7" t="s">
        <v>60</v>
      </c>
      <c r="BB6" s="7" t="s">
        <v>282</v>
      </c>
      <c r="BC6" s="7" t="s">
        <v>244</v>
      </c>
      <c r="BD6" s="25"/>
    </row>
    <row r="7" spans="1:56" s="26" customFormat="1" ht="60" x14ac:dyDescent="0.25">
      <c r="A7" s="7">
        <v>3</v>
      </c>
      <c r="B7" s="7" t="s">
        <v>52</v>
      </c>
      <c r="C7" s="7" t="s">
        <v>71</v>
      </c>
      <c r="D7" s="7" t="s">
        <v>92</v>
      </c>
      <c r="E7" s="7" t="s">
        <v>88</v>
      </c>
      <c r="F7" s="7">
        <v>8007843889</v>
      </c>
      <c r="G7" s="7" t="s">
        <v>242</v>
      </c>
      <c r="H7" s="7" t="s">
        <v>58</v>
      </c>
      <c r="I7" s="11" t="s">
        <v>57</v>
      </c>
      <c r="J7" s="16">
        <v>20</v>
      </c>
      <c r="K7" s="7">
        <v>20</v>
      </c>
      <c r="L7" s="7">
        <v>0</v>
      </c>
      <c r="M7" s="17">
        <v>40</v>
      </c>
      <c r="N7" s="16">
        <v>2</v>
      </c>
      <c r="O7" s="7">
        <v>0</v>
      </c>
      <c r="P7" s="17">
        <v>0</v>
      </c>
      <c r="Q7" s="24" t="s">
        <v>62</v>
      </c>
      <c r="R7" s="7" t="s">
        <v>57</v>
      </c>
      <c r="S7" s="7" t="s">
        <v>60</v>
      </c>
      <c r="T7" s="7" t="s">
        <v>60</v>
      </c>
      <c r="U7" s="7" t="s">
        <v>60</v>
      </c>
      <c r="V7" s="7" t="s">
        <v>81</v>
      </c>
      <c r="W7" s="7" t="s">
        <v>62</v>
      </c>
      <c r="X7" s="7" t="s">
        <v>57</v>
      </c>
      <c r="Y7" s="7" t="s">
        <v>58</v>
      </c>
      <c r="Z7" s="7">
        <v>1</v>
      </c>
      <c r="AA7" s="7">
        <v>2</v>
      </c>
      <c r="AB7" s="7">
        <v>1</v>
      </c>
      <c r="AC7" s="7">
        <v>2</v>
      </c>
      <c r="AD7" s="7" t="s">
        <v>58</v>
      </c>
      <c r="AE7" s="7" t="s">
        <v>57</v>
      </c>
      <c r="AF7" s="7" t="s">
        <v>57</v>
      </c>
      <c r="AG7" s="7" t="s">
        <v>60</v>
      </c>
      <c r="AH7" s="7" t="s">
        <v>57</v>
      </c>
      <c r="AI7" s="7" t="s">
        <v>60</v>
      </c>
      <c r="AJ7" s="7" t="s">
        <v>57</v>
      </c>
      <c r="AK7" s="7" t="s">
        <v>58</v>
      </c>
      <c r="AL7" s="7" t="s">
        <v>58</v>
      </c>
      <c r="AM7" s="7" t="s">
        <v>93</v>
      </c>
      <c r="AN7" s="7" t="s">
        <v>58</v>
      </c>
      <c r="AO7" s="7" t="s">
        <v>60</v>
      </c>
      <c r="AP7" s="7" t="s">
        <v>60</v>
      </c>
      <c r="AQ7" s="7" t="s">
        <v>60</v>
      </c>
      <c r="AR7" s="7" t="s">
        <v>60</v>
      </c>
      <c r="AS7" s="7" t="s">
        <v>57</v>
      </c>
      <c r="AT7" s="7" t="s">
        <v>60</v>
      </c>
      <c r="AU7" s="7" t="s">
        <v>60</v>
      </c>
      <c r="AV7" s="7" t="s">
        <v>58</v>
      </c>
      <c r="AW7" s="7" t="s">
        <v>58</v>
      </c>
      <c r="AX7" s="7" t="s">
        <v>60</v>
      </c>
      <c r="AY7" s="7" t="s">
        <v>60</v>
      </c>
      <c r="AZ7" s="7" t="s">
        <v>60</v>
      </c>
      <c r="BA7" s="7" t="s">
        <v>57</v>
      </c>
      <c r="BB7" s="7" t="s">
        <v>81</v>
      </c>
      <c r="BC7" s="7" t="s">
        <v>245</v>
      </c>
      <c r="BD7" s="25"/>
    </row>
    <row r="8" spans="1:56" s="26" customFormat="1" ht="150" x14ac:dyDescent="0.25">
      <c r="A8" s="7">
        <v>4</v>
      </c>
      <c r="B8" s="7" t="s">
        <v>75</v>
      </c>
      <c r="C8" s="7" t="s">
        <v>76</v>
      </c>
      <c r="D8" s="7" t="s">
        <v>77</v>
      </c>
      <c r="E8" s="7" t="s">
        <v>56</v>
      </c>
      <c r="F8" s="7">
        <v>9823446205</v>
      </c>
      <c r="G8" s="7" t="s">
        <v>73</v>
      </c>
      <c r="H8" s="7" t="s">
        <v>58</v>
      </c>
      <c r="I8" s="11" t="s">
        <v>57</v>
      </c>
      <c r="J8" s="16">
        <v>77</v>
      </c>
      <c r="K8" s="7">
        <v>65</v>
      </c>
      <c r="L8" s="7">
        <v>5</v>
      </c>
      <c r="M8" s="17">
        <v>142</v>
      </c>
      <c r="N8" s="16">
        <v>3</v>
      </c>
      <c r="O8" s="7">
        <v>6</v>
      </c>
      <c r="P8" s="17">
        <v>0</v>
      </c>
      <c r="Q8" s="24" t="s">
        <v>78</v>
      </c>
      <c r="R8" s="7" t="s">
        <v>57</v>
      </c>
      <c r="S8" s="7" t="s">
        <v>79</v>
      </c>
      <c r="T8" s="7" t="s">
        <v>58</v>
      </c>
      <c r="U8" s="7" t="s">
        <v>62</v>
      </c>
      <c r="V8" s="7" t="s">
        <v>58</v>
      </c>
      <c r="W8" s="7" t="s">
        <v>62</v>
      </c>
      <c r="X8" s="7" t="s">
        <v>60</v>
      </c>
      <c r="Y8" s="7" t="s">
        <v>58</v>
      </c>
      <c r="Z8" s="7">
        <v>2</v>
      </c>
      <c r="AA8" s="7">
        <v>4</v>
      </c>
      <c r="AB8" s="7">
        <v>4</v>
      </c>
      <c r="AC8" s="7">
        <v>0</v>
      </c>
      <c r="AD8" s="7" t="s">
        <v>57</v>
      </c>
      <c r="AE8" s="7" t="s">
        <v>57</v>
      </c>
      <c r="AF8" s="7" t="s">
        <v>57</v>
      </c>
      <c r="AG8" s="7" t="s">
        <v>60</v>
      </c>
      <c r="AH8" s="7" t="s">
        <v>60</v>
      </c>
      <c r="AI8" s="7" t="s">
        <v>60</v>
      </c>
      <c r="AJ8" s="7" t="s">
        <v>60</v>
      </c>
      <c r="AK8" s="7" t="s">
        <v>58</v>
      </c>
      <c r="AL8" s="7" t="s">
        <v>58</v>
      </c>
      <c r="AM8" s="7" t="s">
        <v>80</v>
      </c>
      <c r="AN8" s="7" t="s">
        <v>58</v>
      </c>
      <c r="AO8" s="7" t="s">
        <v>60</v>
      </c>
      <c r="AP8" s="7" t="s">
        <v>60</v>
      </c>
      <c r="AQ8" s="7" t="s">
        <v>81</v>
      </c>
      <c r="AR8" s="7" t="s">
        <v>60</v>
      </c>
      <c r="AS8" s="7" t="s">
        <v>57</v>
      </c>
      <c r="AT8" s="7" t="s">
        <v>60</v>
      </c>
      <c r="AU8" s="7" t="s">
        <v>60</v>
      </c>
      <c r="AV8" s="7" t="s">
        <v>62</v>
      </c>
      <c r="AW8" s="7" t="s">
        <v>62</v>
      </c>
      <c r="AX8" s="7" t="s">
        <v>57</v>
      </c>
      <c r="AY8" s="7" t="s">
        <v>57</v>
      </c>
      <c r="AZ8" s="7" t="s">
        <v>60</v>
      </c>
      <c r="BA8" s="7" t="s">
        <v>60</v>
      </c>
      <c r="BB8" s="7" t="s">
        <v>82</v>
      </c>
      <c r="BC8" s="7" t="s">
        <v>246</v>
      </c>
      <c r="BD8" s="25"/>
    </row>
    <row r="9" spans="1:56" s="26" customFormat="1" ht="45" x14ac:dyDescent="0.25">
      <c r="A9" s="7">
        <v>5</v>
      </c>
      <c r="B9" s="7" t="s">
        <v>70</v>
      </c>
      <c r="C9" s="7" t="s">
        <v>83</v>
      </c>
      <c r="D9" s="7" t="s">
        <v>84</v>
      </c>
      <c r="E9" s="7" t="s">
        <v>56</v>
      </c>
      <c r="F9" s="7">
        <v>8668535050</v>
      </c>
      <c r="G9" s="7" t="s">
        <v>73</v>
      </c>
      <c r="H9" s="7" t="s">
        <v>58</v>
      </c>
      <c r="I9" s="11" t="s">
        <v>57</v>
      </c>
      <c r="J9" s="16">
        <v>70</v>
      </c>
      <c r="K9" s="7">
        <v>88</v>
      </c>
      <c r="L9" s="7">
        <v>0</v>
      </c>
      <c r="M9" s="17">
        <v>158</v>
      </c>
      <c r="N9" s="16">
        <v>2</v>
      </c>
      <c r="O9" s="7">
        <v>6</v>
      </c>
      <c r="P9" s="17">
        <v>0</v>
      </c>
      <c r="Q9" s="24" t="s">
        <v>62</v>
      </c>
      <c r="R9" s="7" t="s">
        <v>60</v>
      </c>
      <c r="S9" s="7" t="s">
        <v>85</v>
      </c>
      <c r="T9" s="7" t="s">
        <v>57</v>
      </c>
      <c r="U9" s="7" t="s">
        <v>58</v>
      </c>
      <c r="V9" s="7" t="s">
        <v>247</v>
      </c>
      <c r="W9" s="7" t="s">
        <v>62</v>
      </c>
      <c r="X9" s="7" t="s">
        <v>57</v>
      </c>
      <c r="Y9" s="7" t="s">
        <v>58</v>
      </c>
      <c r="Z9" s="7">
        <v>1</v>
      </c>
      <c r="AA9" s="7">
        <v>1</v>
      </c>
      <c r="AB9" s="7">
        <v>3</v>
      </c>
      <c r="AC9" s="7">
        <v>3</v>
      </c>
      <c r="AD9" s="7" t="s">
        <v>58</v>
      </c>
      <c r="AE9" s="7" t="s">
        <v>57</v>
      </c>
      <c r="AF9" s="7" t="s">
        <v>57</v>
      </c>
      <c r="AG9" s="7" t="s">
        <v>60</v>
      </c>
      <c r="AH9" s="7" t="s">
        <v>60</v>
      </c>
      <c r="AI9" s="7" t="s">
        <v>57</v>
      </c>
      <c r="AJ9" s="7" t="s">
        <v>57</v>
      </c>
      <c r="AK9" s="7" t="s">
        <v>57</v>
      </c>
      <c r="AL9" s="7" t="s">
        <v>57</v>
      </c>
      <c r="AM9" s="7" t="s">
        <v>57</v>
      </c>
      <c r="AN9" s="7" t="s">
        <v>57</v>
      </c>
      <c r="AO9" s="7" t="s">
        <v>60</v>
      </c>
      <c r="AP9" s="7" t="s">
        <v>57</v>
      </c>
      <c r="AQ9" s="7" t="s">
        <v>60</v>
      </c>
      <c r="AR9" s="7" t="s">
        <v>60</v>
      </c>
      <c r="AS9" s="7" t="s">
        <v>57</v>
      </c>
      <c r="AT9" s="7" t="s">
        <v>60</v>
      </c>
      <c r="AU9" s="7" t="s">
        <v>60</v>
      </c>
      <c r="AV9" s="7" t="s">
        <v>60</v>
      </c>
      <c r="AW9" s="7" t="s">
        <v>58</v>
      </c>
      <c r="AX9" s="7" t="s">
        <v>60</v>
      </c>
      <c r="AY9" s="7" t="s">
        <v>57</v>
      </c>
      <c r="AZ9" s="7" t="s">
        <v>60</v>
      </c>
      <c r="BA9" s="7" t="s">
        <v>60</v>
      </c>
      <c r="BB9" s="7" t="s">
        <v>82</v>
      </c>
      <c r="BC9" s="7" t="s">
        <v>243</v>
      </c>
      <c r="BD9" s="25"/>
    </row>
    <row r="10" spans="1:56" s="26" customFormat="1" ht="45" x14ac:dyDescent="0.25">
      <c r="A10" s="7">
        <v>6</v>
      </c>
      <c r="B10" s="7" t="s">
        <v>52</v>
      </c>
      <c r="C10" s="7" t="s">
        <v>86</v>
      </c>
      <c r="D10" s="7" t="s">
        <v>87</v>
      </c>
      <c r="E10" s="7" t="s">
        <v>88</v>
      </c>
      <c r="F10" s="7">
        <v>9881694258</v>
      </c>
      <c r="G10" s="7" t="s">
        <v>242</v>
      </c>
      <c r="H10" s="7" t="s">
        <v>58</v>
      </c>
      <c r="I10" s="11" t="s">
        <v>57</v>
      </c>
      <c r="J10" s="16">
        <v>1</v>
      </c>
      <c r="K10" s="7">
        <v>3</v>
      </c>
      <c r="L10" s="7">
        <v>0</v>
      </c>
      <c r="M10" s="17">
        <v>4</v>
      </c>
      <c r="N10" s="16">
        <v>1</v>
      </c>
      <c r="O10" s="7">
        <v>0</v>
      </c>
      <c r="P10" s="17">
        <v>0</v>
      </c>
      <c r="Q10" s="24" t="s">
        <v>58</v>
      </c>
      <c r="R10" s="7" t="s">
        <v>57</v>
      </c>
      <c r="S10" s="7" t="s">
        <v>60</v>
      </c>
      <c r="T10" s="7" t="s">
        <v>57</v>
      </c>
      <c r="U10" s="7" t="s">
        <v>62</v>
      </c>
      <c r="V10" s="7" t="s">
        <v>58</v>
      </c>
      <c r="W10" s="7" t="s">
        <v>62</v>
      </c>
      <c r="X10" s="7" t="s">
        <v>57</v>
      </c>
      <c r="Y10" s="7" t="s">
        <v>58</v>
      </c>
      <c r="Z10" s="7">
        <v>1</v>
      </c>
      <c r="AA10" s="7">
        <v>1</v>
      </c>
      <c r="AB10" s="7">
        <v>1</v>
      </c>
      <c r="AC10" s="7">
        <v>1</v>
      </c>
      <c r="AD10" s="7" t="s">
        <v>58</v>
      </c>
      <c r="AE10" s="7" t="s">
        <v>57</v>
      </c>
      <c r="AF10" s="7" t="s">
        <v>60</v>
      </c>
      <c r="AG10" s="7" t="s">
        <v>60</v>
      </c>
      <c r="AH10" s="7" t="s">
        <v>60</v>
      </c>
      <c r="AI10" s="7" t="s">
        <v>61</v>
      </c>
      <c r="AJ10" s="7" t="s">
        <v>57</v>
      </c>
      <c r="AK10" s="7" t="s">
        <v>58</v>
      </c>
      <c r="AL10" s="7" t="s">
        <v>58</v>
      </c>
      <c r="AM10" s="7" t="s">
        <v>89</v>
      </c>
      <c r="AN10" s="7" t="s">
        <v>58</v>
      </c>
      <c r="AO10" s="7" t="s">
        <v>60</v>
      </c>
      <c r="AP10" s="7" t="s">
        <v>60</v>
      </c>
      <c r="AQ10" s="7" t="s">
        <v>60</v>
      </c>
      <c r="AR10" s="7" t="s">
        <v>60</v>
      </c>
      <c r="AS10" s="7" t="s">
        <v>58</v>
      </c>
      <c r="AT10" s="7" t="s">
        <v>60</v>
      </c>
      <c r="AU10" s="7" t="s">
        <v>60</v>
      </c>
      <c r="AV10" s="7" t="s">
        <v>60</v>
      </c>
      <c r="AW10" s="7" t="s">
        <v>58</v>
      </c>
      <c r="AX10" s="7" t="s">
        <v>60</v>
      </c>
      <c r="AY10" s="7" t="s">
        <v>60</v>
      </c>
      <c r="AZ10" s="7" t="s">
        <v>60</v>
      </c>
      <c r="BA10" s="7" t="s">
        <v>57</v>
      </c>
      <c r="BB10" s="7" t="s">
        <v>90</v>
      </c>
      <c r="BC10" s="7" t="s">
        <v>91</v>
      </c>
      <c r="BD10" s="25"/>
    </row>
    <row r="11" spans="1:56" s="26" customFormat="1" ht="285" x14ac:dyDescent="0.25">
      <c r="A11" s="7">
        <v>7</v>
      </c>
      <c r="B11" s="7" t="s">
        <v>52</v>
      </c>
      <c r="C11" s="7" t="s">
        <v>94</v>
      </c>
      <c r="D11" s="7" t="s">
        <v>95</v>
      </c>
      <c r="E11" s="7" t="s">
        <v>88</v>
      </c>
      <c r="F11" s="7">
        <v>7385349360</v>
      </c>
      <c r="G11" s="7" t="s">
        <v>242</v>
      </c>
      <c r="H11" s="7" t="s">
        <v>58</v>
      </c>
      <c r="I11" s="11" t="s">
        <v>57</v>
      </c>
      <c r="J11" s="16">
        <v>6</v>
      </c>
      <c r="K11" s="7">
        <v>10</v>
      </c>
      <c r="L11" s="7">
        <v>0</v>
      </c>
      <c r="M11" s="17">
        <v>13</v>
      </c>
      <c r="N11" s="16">
        <v>1</v>
      </c>
      <c r="O11" s="7">
        <v>1</v>
      </c>
      <c r="P11" s="17" t="s">
        <v>62</v>
      </c>
      <c r="Q11" s="24" t="s">
        <v>57</v>
      </c>
      <c r="R11" s="7" t="s">
        <v>61</v>
      </c>
      <c r="S11" s="7" t="s">
        <v>57</v>
      </c>
      <c r="T11" s="7" t="s">
        <v>61</v>
      </c>
      <c r="U11" s="7" t="s">
        <v>62</v>
      </c>
      <c r="V11" s="7" t="s">
        <v>58</v>
      </c>
      <c r="W11" s="7" t="s">
        <v>62</v>
      </c>
      <c r="X11" s="7" t="s">
        <v>96</v>
      </c>
      <c r="Y11" s="7" t="s">
        <v>58</v>
      </c>
      <c r="Z11" s="7">
        <v>1</v>
      </c>
      <c r="AA11" s="7">
        <v>1</v>
      </c>
      <c r="AB11" s="7">
        <v>1</v>
      </c>
      <c r="AC11" s="7">
        <v>1</v>
      </c>
      <c r="AD11" s="7" t="s">
        <v>58</v>
      </c>
      <c r="AE11" s="7" t="s">
        <v>57</v>
      </c>
      <c r="AF11" s="7" t="s">
        <v>57</v>
      </c>
      <c r="AG11" s="7" t="s">
        <v>60</v>
      </c>
      <c r="AH11" s="7" t="s">
        <v>60</v>
      </c>
      <c r="AI11" s="7" t="s">
        <v>57</v>
      </c>
      <c r="AJ11" s="7" t="s">
        <v>57</v>
      </c>
      <c r="AK11" s="7" t="s">
        <v>248</v>
      </c>
      <c r="AL11" s="7" t="s">
        <v>57</v>
      </c>
      <c r="AM11" s="7" t="s">
        <v>97</v>
      </c>
      <c r="AN11" s="7" t="s">
        <v>57</v>
      </c>
      <c r="AO11" s="7" t="s">
        <v>60</v>
      </c>
      <c r="AP11" s="7" t="s">
        <v>60</v>
      </c>
      <c r="AQ11" s="7" t="s">
        <v>85</v>
      </c>
      <c r="AR11" s="7" t="s">
        <v>60</v>
      </c>
      <c r="AS11" s="7" t="s">
        <v>57</v>
      </c>
      <c r="AT11" s="7" t="s">
        <v>60</v>
      </c>
      <c r="AU11" s="7" t="s">
        <v>60</v>
      </c>
      <c r="AV11" s="7" t="s">
        <v>60</v>
      </c>
      <c r="AW11" s="7" t="s">
        <v>58</v>
      </c>
      <c r="AX11" s="7" t="s">
        <v>60</v>
      </c>
      <c r="AY11" s="7" t="s">
        <v>60</v>
      </c>
      <c r="AZ11" s="7" t="s">
        <v>60</v>
      </c>
      <c r="BA11" s="7" t="s">
        <v>57</v>
      </c>
      <c r="BB11" s="7" t="s">
        <v>60</v>
      </c>
      <c r="BC11" s="7" t="s">
        <v>270</v>
      </c>
      <c r="BD11" s="25"/>
    </row>
    <row r="12" spans="1:56" s="26" customFormat="1" ht="135" x14ac:dyDescent="0.25">
      <c r="A12" s="7">
        <v>8</v>
      </c>
      <c r="B12" s="7" t="s">
        <v>98</v>
      </c>
      <c r="C12" s="7" t="s">
        <v>99</v>
      </c>
      <c r="D12" s="7" t="s">
        <v>100</v>
      </c>
      <c r="E12" s="7" t="s">
        <v>56</v>
      </c>
      <c r="F12" s="7">
        <v>9689766913</v>
      </c>
      <c r="G12" s="7" t="s">
        <v>73</v>
      </c>
      <c r="H12" s="7" t="s">
        <v>58</v>
      </c>
      <c r="I12" s="11" t="s">
        <v>57</v>
      </c>
      <c r="J12" s="16">
        <v>212</v>
      </c>
      <c r="K12" s="7">
        <v>179</v>
      </c>
      <c r="L12" s="7">
        <v>0</v>
      </c>
      <c r="M12" s="17">
        <v>391</v>
      </c>
      <c r="N12" s="16">
        <v>1</v>
      </c>
      <c r="O12" s="7">
        <v>6</v>
      </c>
      <c r="P12" s="17">
        <v>5</v>
      </c>
      <c r="Q12" s="24" t="s">
        <v>101</v>
      </c>
      <c r="R12" s="7" t="s">
        <v>57</v>
      </c>
      <c r="S12" s="7" t="s">
        <v>60</v>
      </c>
      <c r="T12" s="7" t="s">
        <v>60</v>
      </c>
      <c r="U12" s="7" t="s">
        <v>102</v>
      </c>
      <c r="V12" s="7" t="s">
        <v>58</v>
      </c>
      <c r="W12" s="7" t="s">
        <v>62</v>
      </c>
      <c r="X12" s="7" t="s">
        <v>57</v>
      </c>
      <c r="Y12" s="7" t="s">
        <v>58</v>
      </c>
      <c r="Z12" s="7">
        <v>1</v>
      </c>
      <c r="AA12" s="7">
        <v>1</v>
      </c>
      <c r="AB12" s="7">
        <v>6</v>
      </c>
      <c r="AC12" s="7">
        <v>6</v>
      </c>
      <c r="AD12" s="7" t="s">
        <v>60</v>
      </c>
      <c r="AE12" s="7" t="s">
        <v>57</v>
      </c>
      <c r="AF12" s="7" t="s">
        <v>57</v>
      </c>
      <c r="AG12" s="7" t="s">
        <v>60</v>
      </c>
      <c r="AH12" s="7" t="s">
        <v>60</v>
      </c>
      <c r="AI12" s="7" t="s">
        <v>57</v>
      </c>
      <c r="AJ12" s="7" t="s">
        <v>57</v>
      </c>
      <c r="AK12" s="7" t="s">
        <v>60</v>
      </c>
      <c r="AL12" s="7" t="s">
        <v>58</v>
      </c>
      <c r="AM12" s="7" t="s">
        <v>103</v>
      </c>
      <c r="AN12" s="7" t="s">
        <v>58</v>
      </c>
      <c r="AO12" s="7" t="s">
        <v>60</v>
      </c>
      <c r="AP12" s="7" t="s">
        <v>60</v>
      </c>
      <c r="AQ12" s="7" t="s">
        <v>60</v>
      </c>
      <c r="AR12" s="7" t="s">
        <v>57</v>
      </c>
      <c r="AS12" s="7" t="s">
        <v>57</v>
      </c>
      <c r="AT12" s="7" t="s">
        <v>60</v>
      </c>
      <c r="AU12" s="7" t="s">
        <v>60</v>
      </c>
      <c r="AV12" s="7" t="s">
        <v>60</v>
      </c>
      <c r="AW12" s="7" t="s">
        <v>58</v>
      </c>
      <c r="AX12" s="7" t="s">
        <v>60</v>
      </c>
      <c r="AY12" s="7" t="s">
        <v>60</v>
      </c>
      <c r="AZ12" s="7" t="s">
        <v>60</v>
      </c>
      <c r="BA12" s="7" t="s">
        <v>62</v>
      </c>
      <c r="BB12" s="7" t="s">
        <v>104</v>
      </c>
      <c r="BC12" s="7" t="s">
        <v>105</v>
      </c>
      <c r="BD12" s="25"/>
    </row>
    <row r="13" spans="1:56" s="26" customFormat="1" ht="165" x14ac:dyDescent="0.25">
      <c r="A13" s="7">
        <v>9</v>
      </c>
      <c r="B13" s="7" t="s">
        <v>52</v>
      </c>
      <c r="C13" s="7" t="s">
        <v>106</v>
      </c>
      <c r="D13" s="7" t="s">
        <v>107</v>
      </c>
      <c r="E13" s="7" t="s">
        <v>88</v>
      </c>
      <c r="F13" s="7">
        <v>9823232880</v>
      </c>
      <c r="G13" s="7" t="s">
        <v>242</v>
      </c>
      <c r="H13" s="7" t="s">
        <v>58</v>
      </c>
      <c r="I13" s="11" t="s">
        <v>57</v>
      </c>
      <c r="J13" s="16">
        <v>5</v>
      </c>
      <c r="K13" s="7">
        <v>6</v>
      </c>
      <c r="L13" s="7">
        <v>0</v>
      </c>
      <c r="M13" s="17">
        <v>11</v>
      </c>
      <c r="N13" s="16">
        <v>1</v>
      </c>
      <c r="O13" s="7">
        <v>0</v>
      </c>
      <c r="P13" s="17">
        <v>0</v>
      </c>
      <c r="Q13" s="24" t="s">
        <v>58</v>
      </c>
      <c r="R13" s="7" t="s">
        <v>57</v>
      </c>
      <c r="S13" s="7" t="s">
        <v>108</v>
      </c>
      <c r="T13" s="7" t="s">
        <v>60</v>
      </c>
      <c r="U13" s="7" t="s">
        <v>60</v>
      </c>
      <c r="V13" s="7" t="s">
        <v>58</v>
      </c>
      <c r="W13" s="7" t="s">
        <v>62</v>
      </c>
      <c r="X13" s="7" t="s">
        <v>57</v>
      </c>
      <c r="Y13" s="7" t="s">
        <v>58</v>
      </c>
      <c r="Z13" s="7">
        <v>1</v>
      </c>
      <c r="AA13" s="7">
        <v>1</v>
      </c>
      <c r="AB13" s="7">
        <v>2</v>
      </c>
      <c r="AC13" s="7">
        <v>4</v>
      </c>
      <c r="AD13" s="7" t="s">
        <v>58</v>
      </c>
      <c r="AE13" s="7" t="s">
        <v>57</v>
      </c>
      <c r="AF13" s="7" t="s">
        <v>60</v>
      </c>
      <c r="AG13" s="7" t="s">
        <v>60</v>
      </c>
      <c r="AH13" s="7" t="s">
        <v>60</v>
      </c>
      <c r="AI13" s="7" t="s">
        <v>61</v>
      </c>
      <c r="AJ13" s="7" t="s">
        <v>57</v>
      </c>
      <c r="AK13" s="7" t="s">
        <v>57</v>
      </c>
      <c r="AL13" s="7" t="s">
        <v>57</v>
      </c>
      <c r="AM13" s="7" t="s">
        <v>93</v>
      </c>
      <c r="AN13" s="7" t="s">
        <v>58</v>
      </c>
      <c r="AO13" s="7" t="s">
        <v>60</v>
      </c>
      <c r="AP13" s="7" t="s">
        <v>60</v>
      </c>
      <c r="AQ13" s="7" t="s">
        <v>60</v>
      </c>
      <c r="AR13" s="7" t="s">
        <v>60</v>
      </c>
      <c r="AS13" s="7" t="s">
        <v>57</v>
      </c>
      <c r="AT13" s="7" t="s">
        <v>60</v>
      </c>
      <c r="AU13" s="7" t="s">
        <v>60</v>
      </c>
      <c r="AV13" s="7" t="s">
        <v>60</v>
      </c>
      <c r="AW13" s="7" t="s">
        <v>60</v>
      </c>
      <c r="AX13" s="7" t="s">
        <v>60</v>
      </c>
      <c r="AY13" s="7" t="s">
        <v>60</v>
      </c>
      <c r="AZ13" s="7" t="s">
        <v>60</v>
      </c>
      <c r="BA13" s="7" t="s">
        <v>57</v>
      </c>
      <c r="BB13" s="7" t="s">
        <v>60</v>
      </c>
      <c r="BC13" s="7" t="s">
        <v>109</v>
      </c>
      <c r="BD13" s="25"/>
    </row>
    <row r="14" spans="1:56" s="26" customFormat="1" ht="75" x14ac:dyDescent="0.25">
      <c r="A14" s="7">
        <v>10</v>
      </c>
      <c r="B14" s="7" t="s">
        <v>52</v>
      </c>
      <c r="C14" s="7" t="s">
        <v>110</v>
      </c>
      <c r="D14" s="7" t="s">
        <v>111</v>
      </c>
      <c r="E14" s="7" t="s">
        <v>112</v>
      </c>
      <c r="F14" s="7">
        <v>9823616412</v>
      </c>
      <c r="G14" s="7" t="s">
        <v>113</v>
      </c>
      <c r="H14" s="7" t="s">
        <v>58</v>
      </c>
      <c r="I14" s="11" t="s">
        <v>57</v>
      </c>
      <c r="J14" s="16">
        <v>48</v>
      </c>
      <c r="K14" s="7">
        <v>43</v>
      </c>
      <c r="L14" s="7">
        <v>0</v>
      </c>
      <c r="M14" s="17">
        <v>91</v>
      </c>
      <c r="N14" s="16">
        <v>0</v>
      </c>
      <c r="O14" s="7">
        <v>4</v>
      </c>
      <c r="P14" s="17">
        <v>0</v>
      </c>
      <c r="Q14" s="24" t="s">
        <v>58</v>
      </c>
      <c r="R14" s="7" t="s">
        <v>57</v>
      </c>
      <c r="S14" s="7" t="s">
        <v>60</v>
      </c>
      <c r="T14" s="7" t="s">
        <v>60</v>
      </c>
      <c r="U14" s="7" t="s">
        <v>58</v>
      </c>
      <c r="V14" s="7" t="s">
        <v>58</v>
      </c>
      <c r="W14" s="7" t="s">
        <v>62</v>
      </c>
      <c r="X14" s="7" t="s">
        <v>57</v>
      </c>
      <c r="Y14" s="7" t="s">
        <v>58</v>
      </c>
      <c r="Z14" s="7">
        <v>2</v>
      </c>
      <c r="AA14" s="7">
        <v>2</v>
      </c>
      <c r="AB14" s="7">
        <v>10</v>
      </c>
      <c r="AC14" s="7">
        <v>10</v>
      </c>
      <c r="AD14" s="7" t="s">
        <v>58</v>
      </c>
      <c r="AE14" s="7" t="s">
        <v>57</v>
      </c>
      <c r="AF14" s="7" t="s">
        <v>60</v>
      </c>
      <c r="AG14" s="7" t="s">
        <v>58</v>
      </c>
      <c r="AH14" s="7" t="s">
        <v>60</v>
      </c>
      <c r="AI14" s="7" t="s">
        <v>57</v>
      </c>
      <c r="AJ14" s="7" t="s">
        <v>60</v>
      </c>
      <c r="AK14" s="7" t="s">
        <v>60</v>
      </c>
      <c r="AL14" s="7" t="s">
        <v>57</v>
      </c>
      <c r="AM14" s="7" t="s">
        <v>58</v>
      </c>
      <c r="AN14" s="7" t="s">
        <v>57</v>
      </c>
      <c r="AO14" s="7" t="s">
        <v>60</v>
      </c>
      <c r="AP14" s="7" t="s">
        <v>60</v>
      </c>
      <c r="AQ14" s="7" t="s">
        <v>60</v>
      </c>
      <c r="AR14" s="7" t="s">
        <v>114</v>
      </c>
      <c r="AS14" s="7" t="s">
        <v>115</v>
      </c>
      <c r="AT14" s="7" t="s">
        <v>60</v>
      </c>
      <c r="AU14" s="7" t="s">
        <v>60</v>
      </c>
      <c r="AV14" s="7" t="s">
        <v>60</v>
      </c>
      <c r="AW14" s="7" t="s">
        <v>58</v>
      </c>
      <c r="AX14" s="7" t="s">
        <v>60</v>
      </c>
      <c r="AY14" s="7" t="s">
        <v>60</v>
      </c>
      <c r="AZ14" s="7" t="s">
        <v>60</v>
      </c>
      <c r="BA14" s="7" t="s">
        <v>62</v>
      </c>
      <c r="BB14" s="7" t="s">
        <v>90</v>
      </c>
      <c r="BC14" s="7" t="s">
        <v>116</v>
      </c>
      <c r="BD14" s="25"/>
    </row>
    <row r="15" spans="1:56" s="26" customFormat="1" ht="180" x14ac:dyDescent="0.25">
      <c r="A15" s="7">
        <v>11</v>
      </c>
      <c r="B15" s="7" t="s">
        <v>52</v>
      </c>
      <c r="C15" s="7" t="s">
        <v>117</v>
      </c>
      <c r="D15" s="7" t="s">
        <v>118</v>
      </c>
      <c r="E15" s="7" t="s">
        <v>112</v>
      </c>
      <c r="F15" s="7">
        <v>9767025306</v>
      </c>
      <c r="G15" s="7" t="s">
        <v>181</v>
      </c>
      <c r="H15" s="7" t="s">
        <v>58</v>
      </c>
      <c r="I15" s="11" t="s">
        <v>60</v>
      </c>
      <c r="J15" s="16">
        <v>1023</v>
      </c>
      <c r="K15" s="7">
        <v>923</v>
      </c>
      <c r="L15" s="7">
        <v>8</v>
      </c>
      <c r="M15" s="17">
        <v>1946</v>
      </c>
      <c r="N15" s="16">
        <v>37</v>
      </c>
      <c r="O15" s="7">
        <v>10</v>
      </c>
      <c r="P15" s="17">
        <v>0</v>
      </c>
      <c r="Q15" s="24" t="s">
        <v>119</v>
      </c>
      <c r="R15" s="7" t="s">
        <v>60</v>
      </c>
      <c r="S15" s="7" t="s">
        <v>60</v>
      </c>
      <c r="T15" s="7" t="s">
        <v>60</v>
      </c>
      <c r="U15" s="7" t="s">
        <v>58</v>
      </c>
      <c r="V15" s="7" t="s">
        <v>57</v>
      </c>
      <c r="W15" s="7" t="s">
        <v>62</v>
      </c>
      <c r="X15" s="7" t="s">
        <v>60</v>
      </c>
      <c r="Y15" s="7" t="s">
        <v>58</v>
      </c>
      <c r="Z15" s="7">
        <v>6</v>
      </c>
      <c r="AA15" s="7">
        <v>2</v>
      </c>
      <c r="AB15" s="7">
        <v>6</v>
      </c>
      <c r="AC15" s="7">
        <v>2</v>
      </c>
      <c r="AD15" s="7" t="s">
        <v>60</v>
      </c>
      <c r="AE15" s="7" t="s">
        <v>57</v>
      </c>
      <c r="AF15" s="7" t="s">
        <v>60</v>
      </c>
      <c r="AG15" s="7" t="s">
        <v>60</v>
      </c>
      <c r="AH15" s="7" t="s">
        <v>57</v>
      </c>
      <c r="AI15" s="7" t="s">
        <v>57</v>
      </c>
      <c r="AJ15" s="7" t="s">
        <v>57</v>
      </c>
      <c r="AK15" s="7" t="s">
        <v>57</v>
      </c>
      <c r="AL15" s="7" t="s">
        <v>57</v>
      </c>
      <c r="AM15" s="7" t="s">
        <v>103</v>
      </c>
      <c r="AN15" s="7" t="s">
        <v>57</v>
      </c>
      <c r="AO15" s="7" t="s">
        <v>120</v>
      </c>
      <c r="AP15" s="7" t="s">
        <v>60</v>
      </c>
      <c r="AQ15" s="7" t="s">
        <v>60</v>
      </c>
      <c r="AR15" s="7" t="s">
        <v>58</v>
      </c>
      <c r="AS15" s="7" t="s">
        <v>57</v>
      </c>
      <c r="AT15" s="7" t="s">
        <v>60</v>
      </c>
      <c r="AU15" s="7" t="s">
        <v>60</v>
      </c>
      <c r="AV15" s="7" t="s">
        <v>62</v>
      </c>
      <c r="AW15" s="7" t="s">
        <v>62</v>
      </c>
      <c r="AX15" s="7" t="s">
        <v>60</v>
      </c>
      <c r="AY15" s="7" t="s">
        <v>60</v>
      </c>
      <c r="AZ15" s="7" t="s">
        <v>60</v>
      </c>
      <c r="BA15" s="7" t="s">
        <v>58</v>
      </c>
      <c r="BB15" s="7" t="s">
        <v>121</v>
      </c>
      <c r="BC15" s="7" t="s">
        <v>122</v>
      </c>
      <c r="BD15" s="25"/>
    </row>
    <row r="16" spans="1:56" s="26" customFormat="1" ht="150" x14ac:dyDescent="0.25">
      <c r="A16" s="7">
        <v>12</v>
      </c>
      <c r="B16" s="7" t="s">
        <v>52</v>
      </c>
      <c r="C16" s="7" t="s">
        <v>123</v>
      </c>
      <c r="D16" s="7" t="s">
        <v>124</v>
      </c>
      <c r="E16" s="7" t="s">
        <v>112</v>
      </c>
      <c r="F16" s="7">
        <v>9923671466</v>
      </c>
      <c r="G16" s="7" t="s">
        <v>181</v>
      </c>
      <c r="H16" s="7" t="s">
        <v>58</v>
      </c>
      <c r="I16" s="11" t="s">
        <v>60</v>
      </c>
      <c r="J16" s="16">
        <v>476</v>
      </c>
      <c r="K16" s="7">
        <v>439</v>
      </c>
      <c r="L16" s="7">
        <v>11</v>
      </c>
      <c r="M16" s="17">
        <v>915</v>
      </c>
      <c r="N16" s="16">
        <v>15</v>
      </c>
      <c r="O16" s="7">
        <v>8</v>
      </c>
      <c r="P16" s="17">
        <v>0</v>
      </c>
      <c r="Q16" s="24" t="s">
        <v>125</v>
      </c>
      <c r="R16" s="7" t="s">
        <v>60</v>
      </c>
      <c r="S16" s="7" t="s">
        <v>60</v>
      </c>
      <c r="T16" s="7" t="s">
        <v>60</v>
      </c>
      <c r="U16" s="7" t="s">
        <v>62</v>
      </c>
      <c r="V16" s="7" t="s">
        <v>58</v>
      </c>
      <c r="W16" s="7" t="s">
        <v>62</v>
      </c>
      <c r="X16" s="7" t="s">
        <v>57</v>
      </c>
      <c r="Y16" s="7" t="s">
        <v>58</v>
      </c>
      <c r="Z16" s="7">
        <v>2</v>
      </c>
      <c r="AA16" s="7">
        <v>0</v>
      </c>
      <c r="AB16" s="7">
        <v>7</v>
      </c>
      <c r="AC16" s="7">
        <v>0</v>
      </c>
      <c r="AD16" s="7" t="s">
        <v>57</v>
      </c>
      <c r="AE16" s="7" t="s">
        <v>57</v>
      </c>
      <c r="AF16" s="7" t="s">
        <v>60</v>
      </c>
      <c r="AG16" s="7" t="s">
        <v>60</v>
      </c>
      <c r="AH16" s="7" t="s">
        <v>60</v>
      </c>
      <c r="AI16" s="7" t="s">
        <v>57</v>
      </c>
      <c r="AJ16" s="7" t="s">
        <v>60</v>
      </c>
      <c r="AK16" s="7" t="s">
        <v>60</v>
      </c>
      <c r="AL16" s="7" t="s">
        <v>57</v>
      </c>
      <c r="AM16" s="7" t="s">
        <v>126</v>
      </c>
      <c r="AN16" s="7" t="s">
        <v>58</v>
      </c>
      <c r="AO16" s="7" t="s">
        <v>60</v>
      </c>
      <c r="AP16" s="7" t="s">
        <v>60</v>
      </c>
      <c r="AQ16" s="7" t="s">
        <v>60</v>
      </c>
      <c r="AR16" s="7" t="s">
        <v>58</v>
      </c>
      <c r="AS16" s="7" t="s">
        <v>57</v>
      </c>
      <c r="AT16" s="7" t="s">
        <v>57</v>
      </c>
      <c r="AU16" s="7" t="s">
        <v>60</v>
      </c>
      <c r="AV16" s="7" t="s">
        <v>62</v>
      </c>
      <c r="AW16" s="7" t="s">
        <v>62</v>
      </c>
      <c r="AX16" s="7" t="s">
        <v>60</v>
      </c>
      <c r="AY16" s="7" t="s">
        <v>60</v>
      </c>
      <c r="AZ16" s="7" t="s">
        <v>60</v>
      </c>
      <c r="BA16" s="7" t="s">
        <v>281</v>
      </c>
      <c r="BB16" s="7" t="s">
        <v>90</v>
      </c>
      <c r="BC16" s="7" t="s">
        <v>127</v>
      </c>
      <c r="BD16" s="25"/>
    </row>
    <row r="17" spans="1:56" s="26" customFormat="1" ht="195" x14ac:dyDescent="0.25">
      <c r="A17" s="7">
        <v>13</v>
      </c>
      <c r="B17" s="7" t="s">
        <v>52</v>
      </c>
      <c r="C17" s="7" t="s">
        <v>128</v>
      </c>
      <c r="D17" s="7" t="s">
        <v>129</v>
      </c>
      <c r="E17" s="7" t="s">
        <v>112</v>
      </c>
      <c r="F17" s="7">
        <v>9623693876</v>
      </c>
      <c r="G17" s="7" t="s">
        <v>242</v>
      </c>
      <c r="H17" s="7" t="s">
        <v>58</v>
      </c>
      <c r="I17" s="11" t="s">
        <v>57</v>
      </c>
      <c r="J17" s="16">
        <v>104</v>
      </c>
      <c r="K17" s="7">
        <v>77</v>
      </c>
      <c r="L17" s="7">
        <v>0</v>
      </c>
      <c r="M17" s="17">
        <v>181</v>
      </c>
      <c r="N17" s="16">
        <v>7</v>
      </c>
      <c r="O17" s="7">
        <v>1</v>
      </c>
      <c r="P17" s="17">
        <v>0</v>
      </c>
      <c r="Q17" s="24" t="s">
        <v>58</v>
      </c>
      <c r="R17" s="7" t="s">
        <v>57</v>
      </c>
      <c r="S17" s="7" t="s">
        <v>249</v>
      </c>
      <c r="T17" s="7" t="s">
        <v>57</v>
      </c>
      <c r="U17" s="7" t="s">
        <v>62</v>
      </c>
      <c r="V17" s="7" t="s">
        <v>58</v>
      </c>
      <c r="W17" s="7" t="s">
        <v>62</v>
      </c>
      <c r="X17" s="7" t="s">
        <v>57</v>
      </c>
      <c r="Y17" s="7" t="s">
        <v>58</v>
      </c>
      <c r="Z17" s="7">
        <v>2</v>
      </c>
      <c r="AA17" s="7">
        <v>2</v>
      </c>
      <c r="AB17" s="7">
        <v>1</v>
      </c>
      <c r="AC17" s="7">
        <v>1</v>
      </c>
      <c r="AD17" s="7" t="s">
        <v>58</v>
      </c>
      <c r="AE17" s="7" t="s">
        <v>57</v>
      </c>
      <c r="AF17" s="7" t="s">
        <v>60</v>
      </c>
      <c r="AG17" s="7" t="s">
        <v>60</v>
      </c>
      <c r="AH17" s="7" t="s">
        <v>130</v>
      </c>
      <c r="AI17" s="7" t="s">
        <v>61</v>
      </c>
      <c r="AJ17" s="7" t="s">
        <v>57</v>
      </c>
      <c r="AK17" s="7" t="s">
        <v>60</v>
      </c>
      <c r="AL17" s="7" t="s">
        <v>58</v>
      </c>
      <c r="AM17" s="7" t="s">
        <v>93</v>
      </c>
      <c r="AN17" s="7" t="s">
        <v>58</v>
      </c>
      <c r="AO17" s="7" t="s">
        <v>60</v>
      </c>
      <c r="AP17" s="7" t="s">
        <v>60</v>
      </c>
      <c r="AQ17" s="7" t="s">
        <v>60</v>
      </c>
      <c r="AR17" s="7" t="s">
        <v>60</v>
      </c>
      <c r="AS17" s="7" t="s">
        <v>57</v>
      </c>
      <c r="AT17" s="7" t="s">
        <v>131</v>
      </c>
      <c r="AU17" s="7" t="s">
        <v>60</v>
      </c>
      <c r="AV17" s="7" t="s">
        <v>62</v>
      </c>
      <c r="AW17" s="7" t="s">
        <v>62</v>
      </c>
      <c r="AX17" s="7" t="s">
        <v>60</v>
      </c>
      <c r="AY17" s="7" t="s">
        <v>57</v>
      </c>
      <c r="AZ17" s="7" t="s">
        <v>60</v>
      </c>
      <c r="BA17" s="7" t="s">
        <v>57</v>
      </c>
      <c r="BB17" s="7" t="s">
        <v>132</v>
      </c>
      <c r="BC17" s="7" t="s">
        <v>250</v>
      </c>
      <c r="BD17" s="25"/>
    </row>
    <row r="18" spans="1:56" s="26" customFormat="1" ht="180" x14ac:dyDescent="0.25">
      <c r="A18" s="7">
        <v>14</v>
      </c>
      <c r="B18" s="7" t="s">
        <v>52</v>
      </c>
      <c r="C18" s="7" t="s">
        <v>133</v>
      </c>
      <c r="D18" s="7" t="s">
        <v>134</v>
      </c>
      <c r="E18" s="7" t="s">
        <v>112</v>
      </c>
      <c r="F18" s="7">
        <v>9763074931</v>
      </c>
      <c r="G18" s="7" t="s">
        <v>242</v>
      </c>
      <c r="H18" s="7" t="s">
        <v>58</v>
      </c>
      <c r="I18" s="11" t="s">
        <v>57</v>
      </c>
      <c r="J18" s="16">
        <v>1</v>
      </c>
      <c r="K18" s="7">
        <v>5</v>
      </c>
      <c r="L18" s="7">
        <v>0</v>
      </c>
      <c r="M18" s="17">
        <v>6</v>
      </c>
      <c r="N18" s="16">
        <v>0</v>
      </c>
      <c r="O18" s="7">
        <v>1</v>
      </c>
      <c r="P18" s="17">
        <v>0</v>
      </c>
      <c r="Q18" s="24" t="s">
        <v>60</v>
      </c>
      <c r="R18" s="7" t="s">
        <v>61</v>
      </c>
      <c r="S18" s="7" t="s">
        <v>57</v>
      </c>
      <c r="T18" s="7" t="s">
        <v>61</v>
      </c>
      <c r="U18" s="7" t="s">
        <v>58</v>
      </c>
      <c r="V18" s="7" t="s">
        <v>60</v>
      </c>
      <c r="W18" s="7" t="s">
        <v>60</v>
      </c>
      <c r="X18" s="7" t="s">
        <v>60</v>
      </c>
      <c r="Y18" s="7" t="s">
        <v>132</v>
      </c>
      <c r="Z18" s="7">
        <v>1</v>
      </c>
      <c r="AA18" s="7">
        <v>0</v>
      </c>
      <c r="AB18" s="7">
        <v>0</v>
      </c>
      <c r="AC18" s="7">
        <v>0</v>
      </c>
      <c r="AD18" s="7" t="s">
        <v>58</v>
      </c>
      <c r="AE18" s="7" t="s">
        <v>57</v>
      </c>
      <c r="AF18" s="7" t="s">
        <v>60</v>
      </c>
      <c r="AG18" s="7" t="s">
        <v>60</v>
      </c>
      <c r="AH18" s="7" t="s">
        <v>60</v>
      </c>
      <c r="AI18" s="7" t="s">
        <v>60</v>
      </c>
      <c r="AJ18" s="7" t="s">
        <v>57</v>
      </c>
      <c r="AK18" s="7" t="s">
        <v>57</v>
      </c>
      <c r="AL18" s="7" t="s">
        <v>57</v>
      </c>
      <c r="AM18" s="7" t="s">
        <v>60</v>
      </c>
      <c r="AN18" s="7" t="s">
        <v>58</v>
      </c>
      <c r="AO18" s="7" t="s">
        <v>60</v>
      </c>
      <c r="AP18" s="7" t="s">
        <v>60</v>
      </c>
      <c r="AQ18" s="7" t="s">
        <v>60</v>
      </c>
      <c r="AR18" s="7" t="s">
        <v>60</v>
      </c>
      <c r="AS18" s="7" t="s">
        <v>57</v>
      </c>
      <c r="AT18" s="7" t="s">
        <v>60</v>
      </c>
      <c r="AU18" s="7" t="s">
        <v>60</v>
      </c>
      <c r="AV18" s="7" t="s">
        <v>293</v>
      </c>
      <c r="AW18" s="7" t="s">
        <v>294</v>
      </c>
      <c r="AX18" s="7" t="s">
        <v>60</v>
      </c>
      <c r="AY18" s="7" t="s">
        <v>57</v>
      </c>
      <c r="AZ18" s="7" t="s">
        <v>60</v>
      </c>
      <c r="BA18" s="7" t="s">
        <v>57</v>
      </c>
      <c r="BB18" s="7" t="s">
        <v>102</v>
      </c>
      <c r="BC18" s="7" t="s">
        <v>251</v>
      </c>
      <c r="BD18" s="25"/>
    </row>
    <row r="19" spans="1:56" s="26" customFormat="1" ht="210" x14ac:dyDescent="0.25">
      <c r="A19" s="7">
        <v>15</v>
      </c>
      <c r="B19" s="7" t="s">
        <v>52</v>
      </c>
      <c r="C19" s="7" t="s">
        <v>135</v>
      </c>
      <c r="D19" s="7" t="s">
        <v>136</v>
      </c>
      <c r="E19" s="7" t="s">
        <v>112</v>
      </c>
      <c r="F19" s="7">
        <v>9403009559</v>
      </c>
      <c r="G19" s="7" t="s">
        <v>181</v>
      </c>
      <c r="H19" s="7" t="s">
        <v>58</v>
      </c>
      <c r="I19" s="11" t="s">
        <v>57</v>
      </c>
      <c r="J19" s="16">
        <v>44</v>
      </c>
      <c r="K19" s="7">
        <v>39</v>
      </c>
      <c r="L19" s="7">
        <v>1</v>
      </c>
      <c r="M19" s="17">
        <v>83</v>
      </c>
      <c r="N19" s="16">
        <v>3</v>
      </c>
      <c r="O19" s="7">
        <v>2</v>
      </c>
      <c r="P19" s="17">
        <v>0</v>
      </c>
      <c r="Q19" s="24" t="s">
        <v>62</v>
      </c>
      <c r="R19" s="7" t="s">
        <v>57</v>
      </c>
      <c r="S19" s="7" t="s">
        <v>137</v>
      </c>
      <c r="T19" s="7" t="s">
        <v>57</v>
      </c>
      <c r="U19" s="7" t="s">
        <v>62</v>
      </c>
      <c r="V19" s="7" t="s">
        <v>58</v>
      </c>
      <c r="W19" s="7" t="s">
        <v>62</v>
      </c>
      <c r="X19" s="7" t="s">
        <v>57</v>
      </c>
      <c r="Y19" s="7" t="s">
        <v>58</v>
      </c>
      <c r="Z19" s="7">
        <v>3</v>
      </c>
      <c r="AA19" s="7">
        <v>3</v>
      </c>
      <c r="AB19" s="7">
        <v>4</v>
      </c>
      <c r="AC19" s="7">
        <v>4</v>
      </c>
      <c r="AD19" s="7" t="s">
        <v>58</v>
      </c>
      <c r="AE19" s="7" t="s">
        <v>57</v>
      </c>
      <c r="AF19" s="7" t="s">
        <v>57</v>
      </c>
      <c r="AG19" s="7" t="s">
        <v>60</v>
      </c>
      <c r="AH19" s="7" t="s">
        <v>60</v>
      </c>
      <c r="AI19" s="7" t="s">
        <v>57</v>
      </c>
      <c r="AJ19" s="7" t="s">
        <v>60</v>
      </c>
      <c r="AK19" s="7" t="s">
        <v>58</v>
      </c>
      <c r="AL19" s="7" t="s">
        <v>58</v>
      </c>
      <c r="AM19" s="7" t="s">
        <v>138</v>
      </c>
      <c r="AN19" s="7" t="s">
        <v>58</v>
      </c>
      <c r="AO19" s="7" t="s">
        <v>60</v>
      </c>
      <c r="AP19" s="7" t="s">
        <v>60</v>
      </c>
      <c r="AQ19" s="7" t="s">
        <v>60</v>
      </c>
      <c r="AR19" s="7" t="s">
        <v>60</v>
      </c>
      <c r="AS19" s="7" t="s">
        <v>57</v>
      </c>
      <c r="AT19" s="7" t="s">
        <v>57</v>
      </c>
      <c r="AU19" s="7" t="s">
        <v>60</v>
      </c>
      <c r="AV19" s="7" t="s">
        <v>62</v>
      </c>
      <c r="AW19" s="7" t="s">
        <v>62</v>
      </c>
      <c r="AX19" s="7" t="s">
        <v>60</v>
      </c>
      <c r="AY19" s="7" t="s">
        <v>57</v>
      </c>
      <c r="AZ19" s="7" t="s">
        <v>60</v>
      </c>
      <c r="BA19" s="7" t="s">
        <v>62</v>
      </c>
      <c r="BB19" s="7" t="s">
        <v>60</v>
      </c>
      <c r="BC19" s="7" t="s">
        <v>252</v>
      </c>
      <c r="BD19" s="25"/>
    </row>
    <row r="20" spans="1:56" s="26" customFormat="1" ht="120" x14ac:dyDescent="0.25">
      <c r="A20" s="7">
        <v>16</v>
      </c>
      <c r="B20" s="7" t="s">
        <v>253</v>
      </c>
      <c r="C20" s="7" t="s">
        <v>433</v>
      </c>
      <c r="D20" s="7" t="s">
        <v>255</v>
      </c>
      <c r="E20" s="7" t="s">
        <v>112</v>
      </c>
      <c r="F20" s="7">
        <v>9637229967</v>
      </c>
      <c r="G20" s="7" t="s">
        <v>181</v>
      </c>
      <c r="H20" s="7" t="s">
        <v>58</v>
      </c>
      <c r="I20" s="11" t="s">
        <v>57</v>
      </c>
      <c r="J20" s="16">
        <v>79</v>
      </c>
      <c r="K20" s="7">
        <v>73</v>
      </c>
      <c r="L20" s="7">
        <v>3</v>
      </c>
      <c r="M20" s="17">
        <v>152</v>
      </c>
      <c r="N20" s="16">
        <v>7</v>
      </c>
      <c r="O20" s="7">
        <v>0</v>
      </c>
      <c r="P20" s="17">
        <v>0</v>
      </c>
      <c r="Q20" s="24" t="s">
        <v>62</v>
      </c>
      <c r="R20" s="7" t="s">
        <v>60</v>
      </c>
      <c r="S20" s="7" t="s">
        <v>57</v>
      </c>
      <c r="T20" s="7" t="s">
        <v>60</v>
      </c>
      <c r="U20" s="7" t="s">
        <v>62</v>
      </c>
      <c r="V20" s="7" t="s">
        <v>58</v>
      </c>
      <c r="W20" s="7" t="s">
        <v>62</v>
      </c>
      <c r="X20" s="7" t="s">
        <v>57</v>
      </c>
      <c r="Y20" s="7" t="s">
        <v>58</v>
      </c>
      <c r="Z20" s="7">
        <v>1</v>
      </c>
      <c r="AA20" s="7">
        <v>2</v>
      </c>
      <c r="AB20" s="7">
        <v>3</v>
      </c>
      <c r="AC20" s="7">
        <v>2</v>
      </c>
      <c r="AD20" s="7" t="s">
        <v>57</v>
      </c>
      <c r="AE20" s="7" t="s">
        <v>57</v>
      </c>
      <c r="AF20" s="7" t="s">
        <v>60</v>
      </c>
      <c r="AG20" s="7" t="s">
        <v>60</v>
      </c>
      <c r="AH20" s="7" t="s">
        <v>60</v>
      </c>
      <c r="AI20" s="7" t="s">
        <v>57</v>
      </c>
      <c r="AJ20" s="7" t="s">
        <v>139</v>
      </c>
      <c r="AK20" s="7" t="s">
        <v>58</v>
      </c>
      <c r="AL20" s="7" t="s">
        <v>58</v>
      </c>
      <c r="AM20" s="7" t="s">
        <v>93</v>
      </c>
      <c r="AN20" s="7" t="s">
        <v>58</v>
      </c>
      <c r="AO20" s="7" t="s">
        <v>60</v>
      </c>
      <c r="AP20" s="7" t="s">
        <v>60</v>
      </c>
      <c r="AQ20" s="7" t="s">
        <v>60</v>
      </c>
      <c r="AR20" s="7" t="s">
        <v>60</v>
      </c>
      <c r="AS20" s="7" t="s">
        <v>57</v>
      </c>
      <c r="AT20" s="7" t="s">
        <v>57</v>
      </c>
      <c r="AU20" s="7" t="s">
        <v>60</v>
      </c>
      <c r="AV20" s="7" t="s">
        <v>62</v>
      </c>
      <c r="AW20" s="7" t="s">
        <v>62</v>
      </c>
      <c r="AX20" s="7" t="s">
        <v>60</v>
      </c>
      <c r="AY20" s="7" t="s">
        <v>60</v>
      </c>
      <c r="AZ20" s="7" t="s">
        <v>60</v>
      </c>
      <c r="BA20" s="7" t="s">
        <v>62</v>
      </c>
      <c r="BB20" s="7" t="s">
        <v>254</v>
      </c>
      <c r="BC20" s="7" t="s">
        <v>256</v>
      </c>
      <c r="BD20" s="25"/>
    </row>
    <row r="21" spans="1:56" s="26" customFormat="1" ht="105" x14ac:dyDescent="0.25">
      <c r="A21" s="7">
        <v>17</v>
      </c>
      <c r="B21" s="7" t="s">
        <v>52</v>
      </c>
      <c r="C21" s="7" t="s">
        <v>140</v>
      </c>
      <c r="D21" s="7" t="s">
        <v>141</v>
      </c>
      <c r="E21" s="7" t="s">
        <v>88</v>
      </c>
      <c r="F21" s="7">
        <v>7588626040</v>
      </c>
      <c r="G21" s="7" t="s">
        <v>242</v>
      </c>
      <c r="H21" s="7" t="s">
        <v>58</v>
      </c>
      <c r="I21" s="11" t="s">
        <v>57</v>
      </c>
      <c r="J21" s="16">
        <v>27</v>
      </c>
      <c r="K21" s="7">
        <v>17</v>
      </c>
      <c r="L21" s="7">
        <v>1</v>
      </c>
      <c r="M21" s="17">
        <v>44</v>
      </c>
      <c r="N21" s="16">
        <v>0</v>
      </c>
      <c r="O21" s="7">
        <v>2</v>
      </c>
      <c r="P21" s="17">
        <v>0</v>
      </c>
      <c r="Q21" s="24" t="s">
        <v>142</v>
      </c>
      <c r="R21" s="7" t="s">
        <v>57</v>
      </c>
      <c r="S21" s="7" t="s">
        <v>257</v>
      </c>
      <c r="T21" s="7" t="s">
        <v>58</v>
      </c>
      <c r="U21" s="7" t="s">
        <v>280</v>
      </c>
      <c r="V21" s="7" t="s">
        <v>57</v>
      </c>
      <c r="W21" s="7" t="s">
        <v>62</v>
      </c>
      <c r="X21" s="7" t="s">
        <v>57</v>
      </c>
      <c r="Y21" s="7" t="s">
        <v>57</v>
      </c>
      <c r="Z21" s="7" t="s">
        <v>61</v>
      </c>
      <c r="AA21" s="7" t="s">
        <v>61</v>
      </c>
      <c r="AB21" s="7" t="s">
        <v>61</v>
      </c>
      <c r="AC21" s="7" t="s">
        <v>61</v>
      </c>
      <c r="AD21" s="7" t="s">
        <v>58</v>
      </c>
      <c r="AE21" s="7" t="s">
        <v>58</v>
      </c>
      <c r="AF21" s="7" t="s">
        <v>60</v>
      </c>
      <c r="AG21" s="7" t="s">
        <v>57</v>
      </c>
      <c r="AH21" s="7" t="s">
        <v>61</v>
      </c>
      <c r="AI21" s="7" t="s">
        <v>61</v>
      </c>
      <c r="AJ21" s="7" t="s">
        <v>57</v>
      </c>
      <c r="AK21" s="7" t="s">
        <v>57</v>
      </c>
      <c r="AL21" s="7" t="s">
        <v>57</v>
      </c>
      <c r="AM21" s="7" t="s">
        <v>143</v>
      </c>
      <c r="AN21" s="7" t="s">
        <v>58</v>
      </c>
      <c r="AO21" s="7" t="s">
        <v>60</v>
      </c>
      <c r="AP21" s="7" t="s">
        <v>60</v>
      </c>
      <c r="AQ21" s="7" t="s">
        <v>60</v>
      </c>
      <c r="AR21" s="7" t="s">
        <v>60</v>
      </c>
      <c r="AS21" s="7" t="s">
        <v>57</v>
      </c>
      <c r="AT21" s="7" t="s">
        <v>60</v>
      </c>
      <c r="AU21" s="7" t="s">
        <v>60</v>
      </c>
      <c r="AV21" s="7" t="s">
        <v>57</v>
      </c>
      <c r="AW21" s="7" t="s">
        <v>57</v>
      </c>
      <c r="AX21" s="7" t="s">
        <v>57</v>
      </c>
      <c r="AY21" s="7" t="s">
        <v>57</v>
      </c>
      <c r="AZ21" s="7" t="s">
        <v>57</v>
      </c>
      <c r="BA21" s="7" t="s">
        <v>57</v>
      </c>
      <c r="BB21" s="7" t="s">
        <v>60</v>
      </c>
      <c r="BC21" s="7" t="s">
        <v>144</v>
      </c>
      <c r="BD21" s="25"/>
    </row>
    <row r="22" spans="1:56" s="26" customFormat="1" ht="105" x14ac:dyDescent="0.25">
      <c r="A22" s="7">
        <v>18</v>
      </c>
      <c r="B22" s="7" t="s">
        <v>146</v>
      </c>
      <c r="C22" s="7" t="s">
        <v>145</v>
      </c>
      <c r="D22" s="7" t="s">
        <v>147</v>
      </c>
      <c r="E22" s="7" t="s">
        <v>258</v>
      </c>
      <c r="F22" s="7">
        <v>9922043833</v>
      </c>
      <c r="G22" s="7" t="s">
        <v>148</v>
      </c>
      <c r="H22" s="7" t="s">
        <v>58</v>
      </c>
      <c r="I22" s="11" t="s">
        <v>57</v>
      </c>
      <c r="J22" s="16">
        <v>218</v>
      </c>
      <c r="K22" s="7">
        <v>200</v>
      </c>
      <c r="L22" s="7">
        <v>0</v>
      </c>
      <c r="M22" s="17">
        <v>418</v>
      </c>
      <c r="N22" s="16">
        <v>3</v>
      </c>
      <c r="O22" s="7">
        <v>11</v>
      </c>
      <c r="P22" s="17">
        <v>0</v>
      </c>
      <c r="Q22" s="24" t="s">
        <v>62</v>
      </c>
      <c r="R22" s="7" t="s">
        <v>57</v>
      </c>
      <c r="S22" s="7" t="s">
        <v>60</v>
      </c>
      <c r="T22" s="7" t="s">
        <v>58</v>
      </c>
      <c r="U22" s="7" t="s">
        <v>79</v>
      </c>
      <c r="V22" s="7" t="s">
        <v>62</v>
      </c>
      <c r="W22" s="7" t="s">
        <v>62</v>
      </c>
      <c r="X22" s="7" t="s">
        <v>57</v>
      </c>
      <c r="Y22" s="7" t="s">
        <v>58</v>
      </c>
      <c r="Z22" s="7">
        <v>1</v>
      </c>
      <c r="AA22" s="7">
        <v>1</v>
      </c>
      <c r="AB22" s="7">
        <v>8</v>
      </c>
      <c r="AC22" s="7">
        <v>10</v>
      </c>
      <c r="AD22" s="7" t="s">
        <v>58</v>
      </c>
      <c r="AE22" s="7" t="s">
        <v>57</v>
      </c>
      <c r="AF22" s="7" t="s">
        <v>60</v>
      </c>
      <c r="AG22" s="7" t="s">
        <v>60</v>
      </c>
      <c r="AH22" s="7" t="s">
        <v>60</v>
      </c>
      <c r="AI22" s="7" t="s">
        <v>60</v>
      </c>
      <c r="AJ22" s="7" t="s">
        <v>57</v>
      </c>
      <c r="AK22" s="7" t="s">
        <v>58</v>
      </c>
      <c r="AL22" s="7" t="s">
        <v>58</v>
      </c>
      <c r="AM22" s="7" t="s">
        <v>149</v>
      </c>
      <c r="AN22" s="7" t="s">
        <v>58</v>
      </c>
      <c r="AO22" s="7" t="s">
        <v>60</v>
      </c>
      <c r="AP22" s="7" t="s">
        <v>60</v>
      </c>
      <c r="AQ22" s="7" t="s">
        <v>60</v>
      </c>
      <c r="AR22" s="7" t="s">
        <v>58</v>
      </c>
      <c r="AS22" s="7" t="s">
        <v>57</v>
      </c>
      <c r="AT22" s="7" t="s">
        <v>57</v>
      </c>
      <c r="AU22" s="7" t="s">
        <v>60</v>
      </c>
      <c r="AV22" s="7" t="s">
        <v>62</v>
      </c>
      <c r="AW22" s="7" t="s">
        <v>62</v>
      </c>
      <c r="AX22" s="7" t="s">
        <v>60</v>
      </c>
      <c r="AY22" s="7" t="s">
        <v>60</v>
      </c>
      <c r="AZ22" s="7" t="s">
        <v>57</v>
      </c>
      <c r="BA22" s="7" t="s">
        <v>60</v>
      </c>
      <c r="BB22" s="7" t="s">
        <v>82</v>
      </c>
      <c r="BC22" s="7" t="s">
        <v>150</v>
      </c>
      <c r="BD22" s="25"/>
    </row>
    <row r="23" spans="1:56" s="26" customFormat="1" ht="45" x14ac:dyDescent="0.25">
      <c r="A23" s="7">
        <v>19</v>
      </c>
      <c r="B23" s="7" t="s">
        <v>52</v>
      </c>
      <c r="C23" s="7" t="s">
        <v>151</v>
      </c>
      <c r="D23" s="7" t="s">
        <v>152</v>
      </c>
      <c r="E23" s="7" t="s">
        <v>88</v>
      </c>
      <c r="F23" s="7">
        <v>9637106492</v>
      </c>
      <c r="G23" s="7" t="s">
        <v>242</v>
      </c>
      <c r="H23" s="7" t="s">
        <v>58</v>
      </c>
      <c r="I23" s="11" t="s">
        <v>57</v>
      </c>
      <c r="J23" s="16">
        <v>9</v>
      </c>
      <c r="K23" s="7">
        <v>13</v>
      </c>
      <c r="L23" s="7">
        <v>0</v>
      </c>
      <c r="M23" s="17">
        <v>22</v>
      </c>
      <c r="N23" s="16">
        <v>2</v>
      </c>
      <c r="O23" s="7">
        <v>0</v>
      </c>
      <c r="P23" s="17" t="s">
        <v>58</v>
      </c>
      <c r="Q23" s="24" t="s">
        <v>57</v>
      </c>
      <c r="R23" s="7" t="s">
        <v>61</v>
      </c>
      <c r="S23" s="7" t="s">
        <v>58</v>
      </c>
      <c r="T23" s="7" t="s">
        <v>58</v>
      </c>
      <c r="U23" s="7" t="s">
        <v>58</v>
      </c>
      <c r="V23" s="7" t="s">
        <v>62</v>
      </c>
      <c r="W23" s="7" t="s">
        <v>62</v>
      </c>
      <c r="X23" s="7" t="s">
        <v>57</v>
      </c>
      <c r="Y23" s="7" t="s">
        <v>58</v>
      </c>
      <c r="Z23" s="7">
        <v>1</v>
      </c>
      <c r="AA23" s="7">
        <v>1</v>
      </c>
      <c r="AB23" s="7">
        <v>0</v>
      </c>
      <c r="AC23" s="7">
        <v>0</v>
      </c>
      <c r="AD23" s="7" t="s">
        <v>58</v>
      </c>
      <c r="AE23" s="7" t="s">
        <v>57</v>
      </c>
      <c r="AF23" s="7" t="s">
        <v>60</v>
      </c>
      <c r="AG23" s="7" t="s">
        <v>60</v>
      </c>
      <c r="AH23" s="7" t="s">
        <v>60</v>
      </c>
      <c r="AI23" s="7" t="s">
        <v>60</v>
      </c>
      <c r="AJ23" s="7" t="s">
        <v>57</v>
      </c>
      <c r="AK23" s="7" t="s">
        <v>60</v>
      </c>
      <c r="AL23" s="7" t="s">
        <v>58</v>
      </c>
      <c r="AM23" s="7" t="s">
        <v>58</v>
      </c>
      <c r="AN23" s="7" t="s">
        <v>58</v>
      </c>
      <c r="AO23" s="7" t="s">
        <v>60</v>
      </c>
      <c r="AP23" s="7" t="s">
        <v>60</v>
      </c>
      <c r="AQ23" s="7" t="s">
        <v>60</v>
      </c>
      <c r="AR23" s="7" t="s">
        <v>60</v>
      </c>
      <c r="AS23" s="7" t="s">
        <v>57</v>
      </c>
      <c r="AT23" s="7" t="s">
        <v>60</v>
      </c>
      <c r="AU23" s="7" t="s">
        <v>60</v>
      </c>
      <c r="AV23" s="7" t="s">
        <v>62</v>
      </c>
      <c r="AW23" s="7" t="s">
        <v>62</v>
      </c>
      <c r="AX23" s="7" t="s">
        <v>60</v>
      </c>
      <c r="AY23" s="7" t="s">
        <v>57</v>
      </c>
      <c r="AZ23" s="7" t="s">
        <v>57</v>
      </c>
      <c r="BA23" s="7" t="s">
        <v>57</v>
      </c>
      <c r="BB23" s="7" t="s">
        <v>153</v>
      </c>
      <c r="BC23" s="7" t="s">
        <v>259</v>
      </c>
      <c r="BD23" s="25"/>
    </row>
    <row r="24" spans="1:56" s="26" customFormat="1" ht="45" x14ac:dyDescent="0.25">
      <c r="A24" s="7">
        <v>20</v>
      </c>
      <c r="B24" s="7" t="s">
        <v>52</v>
      </c>
      <c r="C24" s="7" t="s">
        <v>154</v>
      </c>
      <c r="D24" s="7" t="s">
        <v>155</v>
      </c>
      <c r="E24" s="7" t="s">
        <v>112</v>
      </c>
      <c r="F24" s="7">
        <v>9022712940</v>
      </c>
      <c r="G24" s="7" t="s">
        <v>242</v>
      </c>
      <c r="H24" s="7" t="s">
        <v>58</v>
      </c>
      <c r="I24" s="11" t="s">
        <v>57</v>
      </c>
      <c r="J24" s="16">
        <v>13</v>
      </c>
      <c r="K24" s="7">
        <v>13</v>
      </c>
      <c r="L24" s="7">
        <v>0</v>
      </c>
      <c r="M24" s="17">
        <v>26</v>
      </c>
      <c r="N24" s="16">
        <v>1</v>
      </c>
      <c r="O24" s="7">
        <v>1</v>
      </c>
      <c r="P24" s="17">
        <v>0</v>
      </c>
      <c r="Q24" s="24" t="s">
        <v>58</v>
      </c>
      <c r="R24" s="7" t="s">
        <v>57</v>
      </c>
      <c r="S24" s="7" t="s">
        <v>60</v>
      </c>
      <c r="T24" s="7" t="s">
        <v>60</v>
      </c>
      <c r="U24" s="7" t="s">
        <v>102</v>
      </c>
      <c r="V24" s="7" t="s">
        <v>58</v>
      </c>
      <c r="W24" s="7" t="s">
        <v>62</v>
      </c>
      <c r="X24" s="7" t="s">
        <v>57</v>
      </c>
      <c r="Y24" s="7" t="s">
        <v>62</v>
      </c>
      <c r="Z24" s="7">
        <v>1</v>
      </c>
      <c r="AA24" s="7">
        <v>1</v>
      </c>
      <c r="AB24" s="7">
        <v>1</v>
      </c>
      <c r="AC24" s="7">
        <v>1</v>
      </c>
      <c r="AD24" s="7" t="s">
        <v>58</v>
      </c>
      <c r="AE24" s="7" t="s">
        <v>57</v>
      </c>
      <c r="AF24" s="7" t="s">
        <v>60</v>
      </c>
      <c r="AG24" s="7" t="s">
        <v>60</v>
      </c>
      <c r="AH24" s="7" t="s">
        <v>60</v>
      </c>
      <c r="AI24" s="7" t="s">
        <v>57</v>
      </c>
      <c r="AJ24" s="7" t="s">
        <v>57</v>
      </c>
      <c r="AK24" s="7" t="s">
        <v>60</v>
      </c>
      <c r="AL24" s="7" t="s">
        <v>58</v>
      </c>
      <c r="AM24" s="7" t="s">
        <v>58</v>
      </c>
      <c r="AN24" s="7" t="s">
        <v>58</v>
      </c>
      <c r="AO24" s="7" t="s">
        <v>60</v>
      </c>
      <c r="AP24" s="7" t="s">
        <v>60</v>
      </c>
      <c r="AQ24" s="7" t="s">
        <v>57</v>
      </c>
      <c r="AR24" s="7" t="s">
        <v>60</v>
      </c>
      <c r="AS24" s="7" t="s">
        <v>57</v>
      </c>
      <c r="AT24" s="7" t="s">
        <v>60</v>
      </c>
      <c r="AU24" s="7" t="s">
        <v>60</v>
      </c>
      <c r="AV24" s="7" t="s">
        <v>62</v>
      </c>
      <c r="AW24" s="7" t="s">
        <v>58</v>
      </c>
      <c r="AX24" s="7" t="s">
        <v>60</v>
      </c>
      <c r="AY24" s="7" t="s">
        <v>57</v>
      </c>
      <c r="AZ24" s="7" t="s">
        <v>57</v>
      </c>
      <c r="BA24" s="7" t="s">
        <v>57</v>
      </c>
      <c r="BB24" s="7" t="s">
        <v>62</v>
      </c>
      <c r="BC24" s="7"/>
      <c r="BD24" s="25"/>
    </row>
    <row r="25" spans="1:56" s="26" customFormat="1" ht="90" x14ac:dyDescent="0.25">
      <c r="A25" s="7">
        <v>21</v>
      </c>
      <c r="B25" s="7" t="s">
        <v>52</v>
      </c>
      <c r="C25" s="7" t="s">
        <v>156</v>
      </c>
      <c r="D25" s="7" t="s">
        <v>157</v>
      </c>
      <c r="E25" s="7" t="s">
        <v>112</v>
      </c>
      <c r="F25" s="7">
        <v>8975003738</v>
      </c>
      <c r="G25" s="7" t="s">
        <v>242</v>
      </c>
      <c r="H25" s="7" t="s">
        <v>58</v>
      </c>
      <c r="I25" s="11" t="s">
        <v>57</v>
      </c>
      <c r="J25" s="16">
        <v>3</v>
      </c>
      <c r="K25" s="7">
        <v>8</v>
      </c>
      <c r="L25" s="7">
        <v>0</v>
      </c>
      <c r="M25" s="17">
        <v>11</v>
      </c>
      <c r="N25" s="16">
        <v>1</v>
      </c>
      <c r="O25" s="7">
        <v>1</v>
      </c>
      <c r="P25" s="17">
        <v>0</v>
      </c>
      <c r="Q25" s="24" t="s">
        <v>142</v>
      </c>
      <c r="R25" s="7" t="s">
        <v>57</v>
      </c>
      <c r="S25" s="7" t="s">
        <v>60</v>
      </c>
      <c r="T25" s="7" t="s">
        <v>58</v>
      </c>
      <c r="U25" s="7" t="s">
        <v>60</v>
      </c>
      <c r="V25" s="7" t="s">
        <v>58</v>
      </c>
      <c r="W25" s="7" t="s">
        <v>57</v>
      </c>
      <c r="X25" s="7" t="s">
        <v>57</v>
      </c>
      <c r="Y25" s="7" t="s">
        <v>57</v>
      </c>
      <c r="Z25" s="7" t="s">
        <v>61</v>
      </c>
      <c r="AA25" s="7" t="s">
        <v>61</v>
      </c>
      <c r="AB25" s="7">
        <v>3</v>
      </c>
      <c r="AC25" s="7">
        <v>3</v>
      </c>
      <c r="AD25" s="7" t="s">
        <v>58</v>
      </c>
      <c r="AE25" s="7" t="s">
        <v>58</v>
      </c>
      <c r="AF25" s="7" t="s">
        <v>57</v>
      </c>
      <c r="AG25" s="7" t="s">
        <v>60</v>
      </c>
      <c r="AH25" s="7" t="s">
        <v>60</v>
      </c>
      <c r="AI25" s="7" t="s">
        <v>57</v>
      </c>
      <c r="AJ25" s="7" t="s">
        <v>57</v>
      </c>
      <c r="AK25" s="7" t="s">
        <v>60</v>
      </c>
      <c r="AL25" s="7" t="s">
        <v>58</v>
      </c>
      <c r="AM25" s="7" t="s">
        <v>158</v>
      </c>
      <c r="AN25" s="7" t="s">
        <v>58</v>
      </c>
      <c r="AO25" s="7" t="s">
        <v>60</v>
      </c>
      <c r="AP25" s="7" t="s">
        <v>60</v>
      </c>
      <c r="AQ25" s="7" t="s">
        <v>60</v>
      </c>
      <c r="AR25" s="7" t="s">
        <v>60</v>
      </c>
      <c r="AS25" s="7" t="s">
        <v>57</v>
      </c>
      <c r="AT25" s="7" t="s">
        <v>60</v>
      </c>
      <c r="AU25" s="7" t="s">
        <v>60</v>
      </c>
      <c r="AV25" s="7" t="s">
        <v>62</v>
      </c>
      <c r="AW25" s="7" t="s">
        <v>62</v>
      </c>
      <c r="AX25" s="7" t="s">
        <v>57</v>
      </c>
      <c r="AY25" s="7" t="s">
        <v>60</v>
      </c>
      <c r="AZ25" s="7" t="s">
        <v>57</v>
      </c>
      <c r="BA25" s="7" t="s">
        <v>60</v>
      </c>
      <c r="BB25" s="7" t="s">
        <v>62</v>
      </c>
      <c r="BC25" s="7" t="s">
        <v>159</v>
      </c>
      <c r="BD25" s="25"/>
    </row>
    <row r="26" spans="1:56" s="26" customFormat="1" ht="60" x14ac:dyDescent="0.25">
      <c r="A26" s="7">
        <v>22</v>
      </c>
      <c r="B26" s="7" t="s">
        <v>52</v>
      </c>
      <c r="C26" s="7" t="s">
        <v>160</v>
      </c>
      <c r="D26" s="7" t="s">
        <v>161</v>
      </c>
      <c r="E26" s="7" t="s">
        <v>112</v>
      </c>
      <c r="F26" s="7">
        <v>8805541505</v>
      </c>
      <c r="G26" s="7" t="s">
        <v>242</v>
      </c>
      <c r="H26" s="7" t="s">
        <v>58</v>
      </c>
      <c r="I26" s="11" t="s">
        <v>57</v>
      </c>
      <c r="J26" s="16">
        <v>18</v>
      </c>
      <c r="K26" s="7">
        <v>18</v>
      </c>
      <c r="L26" s="7">
        <v>3</v>
      </c>
      <c r="M26" s="17">
        <v>36</v>
      </c>
      <c r="N26" s="16">
        <v>1</v>
      </c>
      <c r="O26" s="7">
        <v>1</v>
      </c>
      <c r="P26" s="17">
        <v>0</v>
      </c>
      <c r="Q26" s="24" t="s">
        <v>162</v>
      </c>
      <c r="R26" s="7" t="s">
        <v>60</v>
      </c>
      <c r="S26" s="7" t="s">
        <v>60</v>
      </c>
      <c r="T26" s="7" t="s">
        <v>60</v>
      </c>
      <c r="U26" s="7" t="s">
        <v>62</v>
      </c>
      <c r="V26" s="7" t="s">
        <v>58</v>
      </c>
      <c r="W26" s="7" t="s">
        <v>62</v>
      </c>
      <c r="X26" s="7" t="s">
        <v>57</v>
      </c>
      <c r="Y26" s="7" t="s">
        <v>58</v>
      </c>
      <c r="Z26" s="7">
        <v>1</v>
      </c>
      <c r="AA26" s="7">
        <v>1</v>
      </c>
      <c r="AB26" s="7">
        <v>2</v>
      </c>
      <c r="AC26" s="7">
        <v>1</v>
      </c>
      <c r="AD26" s="7" t="s">
        <v>57</v>
      </c>
      <c r="AE26" s="7" t="s">
        <v>57</v>
      </c>
      <c r="AF26" s="7" t="s">
        <v>60</v>
      </c>
      <c r="AG26" s="7" t="s">
        <v>58</v>
      </c>
      <c r="AH26" s="7" t="s">
        <v>60</v>
      </c>
      <c r="AI26" s="7" t="s">
        <v>57</v>
      </c>
      <c r="AJ26" s="7" t="s">
        <v>57</v>
      </c>
      <c r="AK26" s="7" t="s">
        <v>60</v>
      </c>
      <c r="AL26" s="7" t="s">
        <v>58</v>
      </c>
      <c r="AM26" s="7" t="s">
        <v>58</v>
      </c>
      <c r="AN26" s="7" t="s">
        <v>58</v>
      </c>
      <c r="AO26" s="7" t="s">
        <v>60</v>
      </c>
      <c r="AP26" s="7" t="s">
        <v>60</v>
      </c>
      <c r="AQ26" s="7" t="s">
        <v>60</v>
      </c>
      <c r="AR26" s="7" t="s">
        <v>60</v>
      </c>
      <c r="AS26" s="7" t="s">
        <v>57</v>
      </c>
      <c r="AT26" s="7" t="s">
        <v>60</v>
      </c>
      <c r="AU26" s="7" t="s">
        <v>60</v>
      </c>
      <c r="AV26" s="7" t="s">
        <v>60</v>
      </c>
      <c r="AW26" s="7" t="s">
        <v>58</v>
      </c>
      <c r="AX26" s="7" t="s">
        <v>60</v>
      </c>
      <c r="AY26" s="7" t="s">
        <v>57</v>
      </c>
      <c r="AZ26" s="7" t="s">
        <v>60</v>
      </c>
      <c r="BA26" s="7" t="s">
        <v>57</v>
      </c>
      <c r="BB26" s="7" t="s">
        <v>60</v>
      </c>
      <c r="BC26" s="7" t="s">
        <v>163</v>
      </c>
      <c r="BD26" s="25"/>
    </row>
    <row r="27" spans="1:56" s="26" customFormat="1" ht="135" x14ac:dyDescent="0.25">
      <c r="A27" s="7">
        <v>23</v>
      </c>
      <c r="B27" s="7" t="s">
        <v>52</v>
      </c>
      <c r="C27" s="7" t="s">
        <v>164</v>
      </c>
      <c r="D27" s="7" t="s">
        <v>165</v>
      </c>
      <c r="E27" s="7" t="s">
        <v>88</v>
      </c>
      <c r="F27" s="7">
        <v>9168509580</v>
      </c>
      <c r="G27" s="7" t="s">
        <v>242</v>
      </c>
      <c r="H27" s="7" t="s">
        <v>58</v>
      </c>
      <c r="I27" s="11" t="s">
        <v>57</v>
      </c>
      <c r="J27" s="16">
        <v>34</v>
      </c>
      <c r="K27" s="7">
        <v>28</v>
      </c>
      <c r="L27" s="7">
        <v>0</v>
      </c>
      <c r="M27" s="17">
        <v>62</v>
      </c>
      <c r="N27" s="16">
        <v>3</v>
      </c>
      <c r="O27" s="7">
        <v>0</v>
      </c>
      <c r="P27" s="17">
        <v>0</v>
      </c>
      <c r="Q27" s="24" t="s">
        <v>60</v>
      </c>
      <c r="R27" s="7" t="s">
        <v>61</v>
      </c>
      <c r="S27" s="7" t="s">
        <v>57</v>
      </c>
      <c r="T27" s="7" t="s">
        <v>61</v>
      </c>
      <c r="U27" s="7" t="s">
        <v>60</v>
      </c>
      <c r="V27" s="7" t="s">
        <v>58</v>
      </c>
      <c r="W27" s="7" t="s">
        <v>62</v>
      </c>
      <c r="X27" s="7" t="s">
        <v>57</v>
      </c>
      <c r="Y27" s="7" t="s">
        <v>58</v>
      </c>
      <c r="Z27" s="7">
        <v>2</v>
      </c>
      <c r="AA27" s="7">
        <v>2</v>
      </c>
      <c r="AB27" s="7">
        <v>3</v>
      </c>
      <c r="AC27" s="7">
        <v>3</v>
      </c>
      <c r="AD27" s="7" t="s">
        <v>57</v>
      </c>
      <c r="AE27" s="7" t="s">
        <v>57</v>
      </c>
      <c r="AF27" s="7" t="s">
        <v>57</v>
      </c>
      <c r="AG27" s="7" t="s">
        <v>60</v>
      </c>
      <c r="AH27" s="7" t="s">
        <v>60</v>
      </c>
      <c r="AI27" s="7" t="s">
        <v>61</v>
      </c>
      <c r="AJ27" s="7" t="s">
        <v>57</v>
      </c>
      <c r="AK27" s="7" t="s">
        <v>58</v>
      </c>
      <c r="AL27" s="7" t="s">
        <v>58</v>
      </c>
      <c r="AM27" s="7" t="s">
        <v>103</v>
      </c>
      <c r="AN27" s="7" t="s">
        <v>58</v>
      </c>
      <c r="AO27" s="7" t="s">
        <v>60</v>
      </c>
      <c r="AP27" s="7" t="s">
        <v>60</v>
      </c>
      <c r="AQ27" s="7" t="s">
        <v>60</v>
      </c>
      <c r="AR27" s="7" t="s">
        <v>60</v>
      </c>
      <c r="AS27" s="7" t="s">
        <v>57</v>
      </c>
      <c r="AT27" s="7" t="s">
        <v>57</v>
      </c>
      <c r="AU27" s="7" t="s">
        <v>60</v>
      </c>
      <c r="AV27" s="7" t="s">
        <v>62</v>
      </c>
      <c r="AW27" s="7" t="s">
        <v>62</v>
      </c>
      <c r="AX27" s="7" t="s">
        <v>60</v>
      </c>
      <c r="AY27" s="7" t="s">
        <v>57</v>
      </c>
      <c r="AZ27" s="7" t="s">
        <v>60</v>
      </c>
      <c r="BA27" s="7" t="s">
        <v>57</v>
      </c>
      <c r="BB27" s="7" t="s">
        <v>62</v>
      </c>
      <c r="BC27" s="7" t="s">
        <v>260</v>
      </c>
      <c r="BD27" s="25"/>
    </row>
    <row r="28" spans="1:56" s="26" customFormat="1" ht="45" x14ac:dyDescent="0.25">
      <c r="A28" s="7">
        <v>24</v>
      </c>
      <c r="B28" s="7" t="s">
        <v>52</v>
      </c>
      <c r="C28" s="7" t="s">
        <v>166</v>
      </c>
      <c r="D28" s="7" t="s">
        <v>167</v>
      </c>
      <c r="E28" s="7" t="s">
        <v>88</v>
      </c>
      <c r="F28" s="7">
        <v>9404261428</v>
      </c>
      <c r="G28" s="7" t="s">
        <v>181</v>
      </c>
      <c r="H28" s="7" t="s">
        <v>58</v>
      </c>
      <c r="I28" s="11" t="s">
        <v>57</v>
      </c>
      <c r="J28" s="16">
        <v>10</v>
      </c>
      <c r="K28" s="7">
        <v>22</v>
      </c>
      <c r="L28" s="7">
        <v>0</v>
      </c>
      <c r="M28" s="17">
        <v>32</v>
      </c>
      <c r="N28" s="16">
        <v>1</v>
      </c>
      <c r="O28" s="7">
        <v>1</v>
      </c>
      <c r="P28" s="17">
        <v>0</v>
      </c>
      <c r="Q28" s="24" t="s">
        <v>60</v>
      </c>
      <c r="R28" s="7" t="s">
        <v>61</v>
      </c>
      <c r="S28" s="7" t="s">
        <v>60</v>
      </c>
      <c r="T28" s="7" t="s">
        <v>61</v>
      </c>
      <c r="U28" s="7" t="s">
        <v>62</v>
      </c>
      <c r="V28" s="7" t="s">
        <v>58</v>
      </c>
      <c r="W28" s="7" t="s">
        <v>62</v>
      </c>
      <c r="X28" s="7" t="s">
        <v>57</v>
      </c>
      <c r="Y28" s="7" t="s">
        <v>275</v>
      </c>
      <c r="Z28" s="7" t="s">
        <v>61</v>
      </c>
      <c r="AA28" s="7" t="s">
        <v>61</v>
      </c>
      <c r="AB28" s="7" t="s">
        <v>168</v>
      </c>
      <c r="AC28" s="7" t="s">
        <v>61</v>
      </c>
      <c r="AD28" s="7" t="s">
        <v>58</v>
      </c>
      <c r="AE28" s="7" t="s">
        <v>58</v>
      </c>
      <c r="AF28" s="7" t="s">
        <v>60</v>
      </c>
      <c r="AG28" s="7" t="s">
        <v>60</v>
      </c>
      <c r="AH28" s="7" t="s">
        <v>60</v>
      </c>
      <c r="AI28" s="7" t="s">
        <v>57</v>
      </c>
      <c r="AJ28" s="7" t="s">
        <v>57</v>
      </c>
      <c r="AK28" s="7" t="s">
        <v>58</v>
      </c>
      <c r="AL28" s="7" t="s">
        <v>58</v>
      </c>
      <c r="AM28" s="7" t="s">
        <v>58</v>
      </c>
      <c r="AN28" s="7" t="s">
        <v>58</v>
      </c>
      <c r="AO28" s="7" t="s">
        <v>60</v>
      </c>
      <c r="AP28" s="7" t="s">
        <v>60</v>
      </c>
      <c r="AQ28" s="7" t="s">
        <v>60</v>
      </c>
      <c r="AR28" s="7" t="s">
        <v>57</v>
      </c>
      <c r="AS28" s="7" t="s">
        <v>57</v>
      </c>
      <c r="AT28" s="7" t="s">
        <v>57</v>
      </c>
      <c r="AU28" s="7" t="s">
        <v>60</v>
      </c>
      <c r="AV28" s="7" t="s">
        <v>58</v>
      </c>
      <c r="AW28" s="7" t="s">
        <v>58</v>
      </c>
      <c r="AX28" s="7" t="s">
        <v>60</v>
      </c>
      <c r="AY28" s="7" t="s">
        <v>57</v>
      </c>
      <c r="AZ28" s="7" t="s">
        <v>60</v>
      </c>
      <c r="BA28" s="7" t="s">
        <v>57</v>
      </c>
      <c r="BB28" s="7" t="s">
        <v>60</v>
      </c>
      <c r="BC28" s="7" t="s">
        <v>169</v>
      </c>
      <c r="BD28" s="25"/>
    </row>
    <row r="29" spans="1:56" s="26" customFormat="1" ht="75" x14ac:dyDescent="0.25">
      <c r="A29" s="7">
        <v>25</v>
      </c>
      <c r="B29" s="7" t="s">
        <v>52</v>
      </c>
      <c r="C29" s="7" t="s">
        <v>170</v>
      </c>
      <c r="D29" s="7" t="s">
        <v>171</v>
      </c>
      <c r="E29" s="7" t="s">
        <v>88</v>
      </c>
      <c r="F29" s="7">
        <v>7722034342</v>
      </c>
      <c r="G29" s="7" t="s">
        <v>242</v>
      </c>
      <c r="H29" s="7" t="s">
        <v>58</v>
      </c>
      <c r="I29" s="11" t="s">
        <v>57</v>
      </c>
      <c r="J29" s="16">
        <v>10</v>
      </c>
      <c r="K29" s="7">
        <v>16</v>
      </c>
      <c r="L29" s="7">
        <v>0</v>
      </c>
      <c r="M29" s="17">
        <v>26</v>
      </c>
      <c r="N29" s="16">
        <v>2</v>
      </c>
      <c r="O29" s="7">
        <v>0</v>
      </c>
      <c r="P29" s="17">
        <v>0</v>
      </c>
      <c r="Q29" s="24" t="s">
        <v>60</v>
      </c>
      <c r="R29" s="7" t="s">
        <v>61</v>
      </c>
      <c r="S29" s="7" t="s">
        <v>57</v>
      </c>
      <c r="T29" s="7" t="s">
        <v>60</v>
      </c>
      <c r="U29" s="7" t="s">
        <v>58</v>
      </c>
      <c r="V29" s="7" t="s">
        <v>57</v>
      </c>
      <c r="W29" s="7" t="s">
        <v>60</v>
      </c>
      <c r="X29" s="7" t="s">
        <v>57</v>
      </c>
      <c r="Y29" s="7" t="s">
        <v>62</v>
      </c>
      <c r="Z29" s="7">
        <v>1</v>
      </c>
      <c r="AA29" s="7">
        <v>1</v>
      </c>
      <c r="AB29" s="7">
        <v>2</v>
      </c>
      <c r="AC29" s="7">
        <v>2</v>
      </c>
      <c r="AD29" s="7" t="s">
        <v>58</v>
      </c>
      <c r="AE29" s="7" t="s">
        <v>57</v>
      </c>
      <c r="AF29" s="7" t="s">
        <v>60</v>
      </c>
      <c r="AG29" s="7" t="s">
        <v>60</v>
      </c>
      <c r="AH29" s="7" t="s">
        <v>60</v>
      </c>
      <c r="AI29" s="7" t="s">
        <v>61</v>
      </c>
      <c r="AJ29" s="7" t="s">
        <v>57</v>
      </c>
      <c r="AK29" s="7" t="s">
        <v>57</v>
      </c>
      <c r="AL29" s="7" t="s">
        <v>57</v>
      </c>
      <c r="AM29" s="7" t="s">
        <v>103</v>
      </c>
      <c r="AN29" s="7" t="s">
        <v>58</v>
      </c>
      <c r="AO29" s="7" t="s">
        <v>60</v>
      </c>
      <c r="AP29" s="7" t="s">
        <v>60</v>
      </c>
      <c r="AQ29" s="7" t="s">
        <v>60</v>
      </c>
      <c r="AR29" s="7" t="s">
        <v>60</v>
      </c>
      <c r="AS29" s="7" t="s">
        <v>57</v>
      </c>
      <c r="AT29" s="7" t="s">
        <v>60</v>
      </c>
      <c r="AU29" s="7" t="s">
        <v>60</v>
      </c>
      <c r="AV29" s="7" t="s">
        <v>62</v>
      </c>
      <c r="AW29" s="7" t="s">
        <v>58</v>
      </c>
      <c r="AX29" s="7" t="s">
        <v>60</v>
      </c>
      <c r="AY29" s="7" t="s">
        <v>60</v>
      </c>
      <c r="AZ29" s="7" t="s">
        <v>60</v>
      </c>
      <c r="BA29" s="7" t="s">
        <v>57</v>
      </c>
      <c r="BB29" s="7" t="s">
        <v>62</v>
      </c>
      <c r="BC29" s="7" t="s">
        <v>172</v>
      </c>
      <c r="BD29" s="25"/>
    </row>
    <row r="30" spans="1:56" s="26" customFormat="1" ht="105" x14ac:dyDescent="0.25">
      <c r="A30" s="7">
        <v>26</v>
      </c>
      <c r="B30" s="7" t="s">
        <v>52</v>
      </c>
      <c r="C30" s="7" t="s">
        <v>173</v>
      </c>
      <c r="D30" s="7" t="s">
        <v>178</v>
      </c>
      <c r="E30" s="7" t="s">
        <v>112</v>
      </c>
      <c r="F30" s="7">
        <v>9503872753</v>
      </c>
      <c r="G30" s="7" t="s">
        <v>181</v>
      </c>
      <c r="H30" s="7" t="s">
        <v>58</v>
      </c>
      <c r="I30" s="11" t="s">
        <v>57</v>
      </c>
      <c r="J30" s="16">
        <v>16</v>
      </c>
      <c r="K30" s="7">
        <v>22</v>
      </c>
      <c r="L30" s="7">
        <v>2</v>
      </c>
      <c r="M30" s="17">
        <v>38</v>
      </c>
      <c r="N30" s="16">
        <v>4</v>
      </c>
      <c r="O30" s="7">
        <v>2</v>
      </c>
      <c r="P30" s="17">
        <v>0</v>
      </c>
      <c r="Q30" s="24" t="s">
        <v>174</v>
      </c>
      <c r="R30" s="7" t="s">
        <v>57</v>
      </c>
      <c r="S30" s="7" t="s">
        <v>60</v>
      </c>
      <c r="T30" s="7" t="s">
        <v>60</v>
      </c>
      <c r="U30" s="7" t="s">
        <v>62</v>
      </c>
      <c r="V30" s="7" t="s">
        <v>58</v>
      </c>
      <c r="W30" s="7" t="s">
        <v>62</v>
      </c>
      <c r="X30" s="7" t="s">
        <v>57</v>
      </c>
      <c r="Y30" s="7" t="s">
        <v>58</v>
      </c>
      <c r="Z30" s="7">
        <v>1</v>
      </c>
      <c r="AA30" s="7">
        <v>3</v>
      </c>
      <c r="AB30" s="7">
        <v>3</v>
      </c>
      <c r="AC30" s="7">
        <v>0</v>
      </c>
      <c r="AD30" s="7" t="s">
        <v>60</v>
      </c>
      <c r="AE30" s="7" t="s">
        <v>57</v>
      </c>
      <c r="AF30" s="7" t="s">
        <v>57</v>
      </c>
      <c r="AG30" s="7" t="s">
        <v>60</v>
      </c>
      <c r="AH30" s="7" t="s">
        <v>60</v>
      </c>
      <c r="AI30" s="7" t="s">
        <v>60</v>
      </c>
      <c r="AJ30" s="7" t="s">
        <v>57</v>
      </c>
      <c r="AK30" s="7" t="s">
        <v>60</v>
      </c>
      <c r="AL30" s="7" t="s">
        <v>58</v>
      </c>
      <c r="AM30" s="7" t="s">
        <v>93</v>
      </c>
      <c r="AN30" s="7" t="s">
        <v>58</v>
      </c>
      <c r="AO30" s="7" t="s">
        <v>60</v>
      </c>
      <c r="AP30" s="7" t="s">
        <v>60</v>
      </c>
      <c r="AQ30" s="7" t="s">
        <v>60</v>
      </c>
      <c r="AR30" s="7" t="s">
        <v>60</v>
      </c>
      <c r="AS30" s="7" t="s">
        <v>57</v>
      </c>
      <c r="AT30" s="7" t="s">
        <v>60</v>
      </c>
      <c r="AU30" s="7" t="s">
        <v>60</v>
      </c>
      <c r="AV30" s="7" t="s">
        <v>62</v>
      </c>
      <c r="AW30" s="7" t="s">
        <v>60</v>
      </c>
      <c r="AX30" s="7" t="s">
        <v>60</v>
      </c>
      <c r="AY30" s="7" t="s">
        <v>57</v>
      </c>
      <c r="AZ30" s="7" t="s">
        <v>57</v>
      </c>
      <c r="BA30" s="7" t="s">
        <v>60</v>
      </c>
      <c r="BB30" s="7" t="s">
        <v>175</v>
      </c>
      <c r="BC30" s="7" t="s">
        <v>176</v>
      </c>
      <c r="BD30" s="25"/>
    </row>
    <row r="31" spans="1:56" s="26" customFormat="1" ht="45" x14ac:dyDescent="0.25">
      <c r="A31" s="7">
        <v>27</v>
      </c>
      <c r="B31" s="7" t="s">
        <v>52</v>
      </c>
      <c r="C31" s="7" t="s">
        <v>177</v>
      </c>
      <c r="D31" s="7" t="s">
        <v>179</v>
      </c>
      <c r="E31" s="7" t="s">
        <v>88</v>
      </c>
      <c r="F31" s="7">
        <v>9922130343</v>
      </c>
      <c r="G31" s="7" t="s">
        <v>181</v>
      </c>
      <c r="H31" s="7" t="s">
        <v>58</v>
      </c>
      <c r="I31" s="11" t="s">
        <v>57</v>
      </c>
      <c r="J31" s="16">
        <v>15</v>
      </c>
      <c r="K31" s="7">
        <v>18</v>
      </c>
      <c r="L31" s="7">
        <v>0</v>
      </c>
      <c r="M31" s="17">
        <v>33</v>
      </c>
      <c r="N31" s="16">
        <v>1</v>
      </c>
      <c r="O31" s="7">
        <v>3</v>
      </c>
      <c r="P31" s="17">
        <v>0</v>
      </c>
      <c r="Q31" s="24" t="s">
        <v>58</v>
      </c>
      <c r="R31" s="7" t="s">
        <v>57</v>
      </c>
      <c r="S31" s="7" t="s">
        <v>180</v>
      </c>
      <c r="T31" s="7" t="s">
        <v>57</v>
      </c>
      <c r="U31" s="7" t="s">
        <v>58</v>
      </c>
      <c r="V31" s="7" t="s">
        <v>58</v>
      </c>
      <c r="W31" s="7" t="s">
        <v>58</v>
      </c>
      <c r="X31" s="7" t="s">
        <v>57</v>
      </c>
      <c r="Y31" s="7" t="s">
        <v>58</v>
      </c>
      <c r="Z31" s="7">
        <v>1</v>
      </c>
      <c r="AA31" s="7">
        <v>1</v>
      </c>
      <c r="AB31" s="7">
        <v>3</v>
      </c>
      <c r="AC31" s="7">
        <v>3</v>
      </c>
      <c r="AD31" s="7" t="s">
        <v>58</v>
      </c>
      <c r="AE31" s="7" t="s">
        <v>57</v>
      </c>
      <c r="AF31" s="7" t="s">
        <v>57</v>
      </c>
      <c r="AG31" s="7" t="s">
        <v>60</v>
      </c>
      <c r="AH31" s="7" t="s">
        <v>60</v>
      </c>
      <c r="AI31" s="7" t="s">
        <v>60</v>
      </c>
      <c r="AJ31" s="7" t="s">
        <v>57</v>
      </c>
      <c r="AK31" s="7" t="s">
        <v>58</v>
      </c>
      <c r="AL31" s="7" t="s">
        <v>58</v>
      </c>
      <c r="AM31" s="7" t="s">
        <v>103</v>
      </c>
      <c r="AN31" s="7" t="s">
        <v>58</v>
      </c>
      <c r="AO31" s="7" t="s">
        <v>60</v>
      </c>
      <c r="AP31" s="7" t="s">
        <v>60</v>
      </c>
      <c r="AQ31" s="7" t="s">
        <v>60</v>
      </c>
      <c r="AR31" s="7" t="s">
        <v>60</v>
      </c>
      <c r="AS31" s="7" t="s">
        <v>57</v>
      </c>
      <c r="AT31" s="7" t="s">
        <v>60</v>
      </c>
      <c r="AU31" s="7" t="s">
        <v>60</v>
      </c>
      <c r="AV31" s="7" t="s">
        <v>58</v>
      </c>
      <c r="AW31" s="7" t="s">
        <v>60</v>
      </c>
      <c r="AX31" s="7" t="s">
        <v>60</v>
      </c>
      <c r="AY31" s="7" t="s">
        <v>57</v>
      </c>
      <c r="AZ31" s="7" t="s">
        <v>60</v>
      </c>
      <c r="BA31" s="7" t="s">
        <v>60</v>
      </c>
      <c r="BB31" s="7" t="s">
        <v>60</v>
      </c>
      <c r="BC31" s="7"/>
      <c r="BD31" s="25"/>
    </row>
    <row r="32" spans="1:56" s="26" customFormat="1" ht="180" x14ac:dyDescent="0.25">
      <c r="A32" s="7">
        <v>28</v>
      </c>
      <c r="B32" s="7" t="s">
        <v>70</v>
      </c>
      <c r="C32" s="7" t="s">
        <v>182</v>
      </c>
      <c r="D32" s="7" t="s">
        <v>183</v>
      </c>
      <c r="E32" s="7" t="s">
        <v>112</v>
      </c>
      <c r="F32" s="7">
        <v>9689948480</v>
      </c>
      <c r="G32" s="7" t="s">
        <v>148</v>
      </c>
      <c r="H32" s="7" t="s">
        <v>58</v>
      </c>
      <c r="I32" s="11" t="s">
        <v>57</v>
      </c>
      <c r="J32" s="16">
        <v>26</v>
      </c>
      <c r="K32" s="7">
        <v>27</v>
      </c>
      <c r="L32" s="7">
        <v>0</v>
      </c>
      <c r="M32" s="17">
        <v>53</v>
      </c>
      <c r="N32" s="16">
        <v>1</v>
      </c>
      <c r="O32" s="7">
        <v>2</v>
      </c>
      <c r="P32" s="17">
        <v>0</v>
      </c>
      <c r="Q32" s="24" t="s">
        <v>174</v>
      </c>
      <c r="R32" s="7" t="s">
        <v>57</v>
      </c>
      <c r="S32" s="7" t="s">
        <v>184</v>
      </c>
      <c r="T32" s="7" t="s">
        <v>57</v>
      </c>
      <c r="U32" s="7" t="s">
        <v>58</v>
      </c>
      <c r="V32" s="7" t="s">
        <v>58</v>
      </c>
      <c r="W32" s="7" t="s">
        <v>62</v>
      </c>
      <c r="X32" s="7" t="s">
        <v>57</v>
      </c>
      <c r="Y32" s="7" t="s">
        <v>58</v>
      </c>
      <c r="Z32" s="7">
        <v>1</v>
      </c>
      <c r="AA32" s="7">
        <v>1</v>
      </c>
      <c r="AB32" s="7">
        <v>5</v>
      </c>
      <c r="AC32" s="7">
        <v>5</v>
      </c>
      <c r="AD32" s="7" t="s">
        <v>58</v>
      </c>
      <c r="AE32" s="7" t="s">
        <v>57</v>
      </c>
      <c r="AF32" s="7" t="s">
        <v>60</v>
      </c>
      <c r="AG32" s="7" t="s">
        <v>60</v>
      </c>
      <c r="AH32" s="7" t="s">
        <v>60</v>
      </c>
      <c r="AI32" s="7" t="s">
        <v>57</v>
      </c>
      <c r="AJ32" s="7" t="s">
        <v>57</v>
      </c>
      <c r="AK32" s="7" t="s">
        <v>60</v>
      </c>
      <c r="AL32" s="7" t="s">
        <v>60</v>
      </c>
      <c r="AM32" s="7" t="s">
        <v>158</v>
      </c>
      <c r="AN32" s="7" t="s">
        <v>60</v>
      </c>
      <c r="AO32" s="7" t="s">
        <v>57</v>
      </c>
      <c r="AP32" s="7" t="s">
        <v>60</v>
      </c>
      <c r="AQ32" s="7" t="s">
        <v>60</v>
      </c>
      <c r="AR32" s="7" t="s">
        <v>60</v>
      </c>
      <c r="AS32" s="7" t="s">
        <v>58</v>
      </c>
      <c r="AT32" s="7" t="s">
        <v>60</v>
      </c>
      <c r="AU32" s="7" t="s">
        <v>60</v>
      </c>
      <c r="AV32" s="7" t="s">
        <v>60</v>
      </c>
      <c r="AW32" s="7" t="s">
        <v>185</v>
      </c>
      <c r="AX32" s="7" t="s">
        <v>57</v>
      </c>
      <c r="AY32" s="7" t="s">
        <v>60</v>
      </c>
      <c r="AZ32" s="7" t="s">
        <v>57</v>
      </c>
      <c r="BA32" s="7" t="s">
        <v>62</v>
      </c>
      <c r="BB32" s="7" t="s">
        <v>62</v>
      </c>
      <c r="BC32" s="7" t="s">
        <v>186</v>
      </c>
      <c r="BD32" s="25"/>
    </row>
    <row r="33" spans="1:56" ht="105" x14ac:dyDescent="0.25">
      <c r="A33" s="4">
        <v>29</v>
      </c>
      <c r="B33" s="4" t="s">
        <v>187</v>
      </c>
      <c r="C33" s="4" t="s">
        <v>188</v>
      </c>
      <c r="D33" s="4" t="s">
        <v>189</v>
      </c>
      <c r="E33" s="4" t="s">
        <v>190</v>
      </c>
      <c r="F33" s="4"/>
      <c r="G33" s="4" t="s">
        <v>148</v>
      </c>
      <c r="H33" s="4" t="s">
        <v>58</v>
      </c>
      <c r="I33" s="10" t="s">
        <v>57</v>
      </c>
      <c r="J33" s="14">
        <v>104</v>
      </c>
      <c r="K33" s="4">
        <v>97</v>
      </c>
      <c r="L33" s="4">
        <v>0</v>
      </c>
      <c r="M33" s="15">
        <v>201</v>
      </c>
      <c r="N33" s="14">
        <v>2</v>
      </c>
      <c r="O33" s="4">
        <v>3</v>
      </c>
      <c r="P33" s="15">
        <v>2</v>
      </c>
      <c r="Q33" s="12" t="s">
        <v>191</v>
      </c>
      <c r="R33" s="4" t="s">
        <v>60</v>
      </c>
      <c r="S33" s="4" t="s">
        <v>60</v>
      </c>
      <c r="T33" s="4" t="s">
        <v>60</v>
      </c>
      <c r="U33" s="4" t="s">
        <v>60</v>
      </c>
      <c r="V33" s="4" t="s">
        <v>58</v>
      </c>
      <c r="W33" s="4" t="s">
        <v>60</v>
      </c>
      <c r="X33" s="4" t="s">
        <v>60</v>
      </c>
      <c r="Y33" s="4" t="s">
        <v>58</v>
      </c>
      <c r="Z33" s="4">
        <v>5</v>
      </c>
      <c r="AA33" s="4">
        <v>9</v>
      </c>
      <c r="AB33" s="4">
        <v>13</v>
      </c>
      <c r="AC33" s="4">
        <v>0</v>
      </c>
      <c r="AD33" s="4" t="s">
        <v>58</v>
      </c>
      <c r="AE33" s="4" t="s">
        <v>57</v>
      </c>
      <c r="AF33" s="4" t="s">
        <v>60</v>
      </c>
      <c r="AG33" s="4" t="s">
        <v>60</v>
      </c>
      <c r="AH33" s="4" t="s">
        <v>60</v>
      </c>
      <c r="AI33" s="8" t="s">
        <v>60</v>
      </c>
      <c r="AJ33" s="4" t="s">
        <v>192</v>
      </c>
      <c r="AK33" s="4" t="s">
        <v>58</v>
      </c>
      <c r="AL33" s="4" t="s">
        <v>58</v>
      </c>
      <c r="AM33" s="4" t="s">
        <v>149</v>
      </c>
      <c r="AN33" s="4" t="s">
        <v>58</v>
      </c>
      <c r="AO33" s="4" t="s">
        <v>193</v>
      </c>
      <c r="AP33" s="4" t="s">
        <v>60</v>
      </c>
      <c r="AQ33" s="4" t="s">
        <v>60</v>
      </c>
      <c r="AR33" s="4" t="s">
        <v>60</v>
      </c>
      <c r="AS33" s="4" t="s">
        <v>58</v>
      </c>
      <c r="AT33" s="4" t="s">
        <v>57</v>
      </c>
      <c r="AU33" s="4" t="s">
        <v>60</v>
      </c>
      <c r="AV33" s="4" t="s">
        <v>60</v>
      </c>
      <c r="AW33" s="4" t="s">
        <v>58</v>
      </c>
      <c r="AX33" s="4" t="s">
        <v>60</v>
      </c>
      <c r="AY33" s="4" t="s">
        <v>261</v>
      </c>
      <c r="AZ33" s="4" t="s">
        <v>60</v>
      </c>
      <c r="BA33" s="4" t="s">
        <v>60</v>
      </c>
      <c r="BB33" s="4" t="s">
        <v>262</v>
      </c>
      <c r="BC33" s="4" t="s">
        <v>263</v>
      </c>
      <c r="BD33" s="9"/>
    </row>
    <row r="34" spans="1:56" ht="75" x14ac:dyDescent="0.25">
      <c r="A34" s="4">
        <v>30</v>
      </c>
      <c r="B34" s="4" t="s">
        <v>70</v>
      </c>
      <c r="C34" s="4" t="s">
        <v>194</v>
      </c>
      <c r="D34" s="4" t="s">
        <v>195</v>
      </c>
      <c r="E34" s="4" t="s">
        <v>88</v>
      </c>
      <c r="F34" s="4">
        <v>9604893993</v>
      </c>
      <c r="G34" s="4" t="s">
        <v>196</v>
      </c>
      <c r="H34" s="4" t="s">
        <v>58</v>
      </c>
      <c r="I34" s="10" t="s">
        <v>57</v>
      </c>
      <c r="J34" s="14">
        <v>26</v>
      </c>
      <c r="K34" s="4">
        <v>10</v>
      </c>
      <c r="L34" s="4">
        <v>0</v>
      </c>
      <c r="M34" s="15">
        <v>36</v>
      </c>
      <c r="N34" s="14">
        <v>1</v>
      </c>
      <c r="O34" s="4">
        <v>3</v>
      </c>
      <c r="P34" s="15">
        <v>0</v>
      </c>
      <c r="Q34" s="12" t="s">
        <v>191</v>
      </c>
      <c r="R34" s="4" t="s">
        <v>60</v>
      </c>
      <c r="S34" s="4" t="s">
        <v>60</v>
      </c>
      <c r="T34" s="4" t="s">
        <v>58</v>
      </c>
      <c r="U34" s="4" t="s">
        <v>62</v>
      </c>
      <c r="V34" s="4" t="s">
        <v>58</v>
      </c>
      <c r="W34" s="4" t="s">
        <v>62</v>
      </c>
      <c r="X34" s="4" t="s">
        <v>57</v>
      </c>
      <c r="Y34" s="4" t="s">
        <v>58</v>
      </c>
      <c r="Z34" s="4">
        <v>3</v>
      </c>
      <c r="AA34" s="4">
        <v>3</v>
      </c>
      <c r="AB34" s="4">
        <v>3</v>
      </c>
      <c r="AC34" s="4">
        <v>0</v>
      </c>
      <c r="AD34" s="4" t="s">
        <v>58</v>
      </c>
      <c r="AE34" s="4" t="s">
        <v>57</v>
      </c>
      <c r="AF34" s="4" t="s">
        <v>57</v>
      </c>
      <c r="AG34" s="4" t="s">
        <v>60</v>
      </c>
      <c r="AH34" s="4" t="s">
        <v>60</v>
      </c>
      <c r="AI34" s="4" t="s">
        <v>57</v>
      </c>
      <c r="AJ34" s="4" t="s">
        <v>197</v>
      </c>
      <c r="AK34" s="4" t="s">
        <v>58</v>
      </c>
      <c r="AL34" s="4" t="s">
        <v>58</v>
      </c>
      <c r="AM34" s="4" t="s">
        <v>198</v>
      </c>
      <c r="AN34" s="4" t="s">
        <v>58</v>
      </c>
      <c r="AO34" s="4" t="s">
        <v>60</v>
      </c>
      <c r="AP34" s="4" t="s">
        <v>60</v>
      </c>
      <c r="AQ34" s="4" t="s">
        <v>60</v>
      </c>
      <c r="AR34" s="4" t="s">
        <v>57</v>
      </c>
      <c r="AS34" s="4" t="s">
        <v>57</v>
      </c>
      <c r="AT34" s="4" t="s">
        <v>57</v>
      </c>
      <c r="AU34" s="4" t="s">
        <v>60</v>
      </c>
      <c r="AV34" s="4" t="s">
        <v>58</v>
      </c>
      <c r="AW34" s="4" t="s">
        <v>58</v>
      </c>
      <c r="AX34" s="4" t="s">
        <v>60</v>
      </c>
      <c r="AY34" s="4" t="s">
        <v>199</v>
      </c>
      <c r="AZ34" s="4" t="s">
        <v>60</v>
      </c>
      <c r="BA34" s="4" t="s">
        <v>60</v>
      </c>
      <c r="BB34" s="4" t="s">
        <v>125</v>
      </c>
      <c r="BC34" s="4" t="s">
        <v>219</v>
      </c>
      <c r="BD34" s="9"/>
    </row>
    <row r="35" spans="1:56" ht="60" x14ac:dyDescent="0.25">
      <c r="A35" s="4">
        <v>31</v>
      </c>
      <c r="B35" s="4" t="s">
        <v>200</v>
      </c>
      <c r="C35" s="4" t="s">
        <v>201</v>
      </c>
      <c r="D35" s="4" t="s">
        <v>202</v>
      </c>
      <c r="E35" s="4" t="s">
        <v>112</v>
      </c>
      <c r="F35" s="4">
        <v>9823343684</v>
      </c>
      <c r="G35" s="4" t="s">
        <v>203</v>
      </c>
      <c r="H35" s="4" t="s">
        <v>58</v>
      </c>
      <c r="I35" s="10" t="s">
        <v>57</v>
      </c>
      <c r="J35" s="14">
        <v>171</v>
      </c>
      <c r="K35" s="4">
        <v>138</v>
      </c>
      <c r="L35" s="4">
        <v>0</v>
      </c>
      <c r="M35" s="15">
        <v>390</v>
      </c>
      <c r="N35" s="14">
        <v>2</v>
      </c>
      <c r="O35" s="4">
        <v>5</v>
      </c>
      <c r="P35" s="15">
        <v>1</v>
      </c>
      <c r="Q35" s="12" t="s">
        <v>58</v>
      </c>
      <c r="R35" s="4" t="s">
        <v>60</v>
      </c>
      <c r="S35" s="4" t="s">
        <v>60</v>
      </c>
      <c r="T35" s="4" t="s">
        <v>57</v>
      </c>
      <c r="U35" s="4" t="s">
        <v>62</v>
      </c>
      <c r="V35" s="4" t="s">
        <v>58</v>
      </c>
      <c r="W35" s="4" t="s">
        <v>62</v>
      </c>
      <c r="X35" s="4" t="s">
        <v>57</v>
      </c>
      <c r="Y35" s="4" t="s">
        <v>58</v>
      </c>
      <c r="Z35" s="4">
        <v>8</v>
      </c>
      <c r="AA35" s="4">
        <v>6</v>
      </c>
      <c r="AB35" s="4">
        <v>8</v>
      </c>
      <c r="AC35" s="4">
        <v>0</v>
      </c>
      <c r="AD35" s="4" t="s">
        <v>58</v>
      </c>
      <c r="AE35" s="4" t="s">
        <v>57</v>
      </c>
      <c r="AF35" s="4" t="s">
        <v>57</v>
      </c>
      <c r="AG35" s="4" t="s">
        <v>60</v>
      </c>
      <c r="AH35" s="4" t="s">
        <v>60</v>
      </c>
      <c r="AI35" s="4" t="s">
        <v>60</v>
      </c>
      <c r="AJ35" s="4" t="s">
        <v>57</v>
      </c>
      <c r="AK35" s="4" t="s">
        <v>60</v>
      </c>
      <c r="AL35" s="4" t="s">
        <v>57</v>
      </c>
      <c r="AM35" s="4" t="s">
        <v>204</v>
      </c>
      <c r="AN35" s="4" t="s">
        <v>58</v>
      </c>
      <c r="AO35" s="4" t="s">
        <v>60</v>
      </c>
      <c r="AP35" s="4" t="s">
        <v>60</v>
      </c>
      <c r="AQ35" s="4" t="s">
        <v>60</v>
      </c>
      <c r="AR35" s="4" t="s">
        <v>60</v>
      </c>
      <c r="AS35" s="4" t="s">
        <v>58</v>
      </c>
      <c r="AT35" s="4" t="s">
        <v>60</v>
      </c>
      <c r="AU35" s="4" t="s">
        <v>60</v>
      </c>
      <c r="AV35" s="4" t="s">
        <v>58</v>
      </c>
      <c r="AW35" s="4" t="s">
        <v>60</v>
      </c>
      <c r="AX35" s="4" t="s">
        <v>60</v>
      </c>
      <c r="AY35" s="4" t="s">
        <v>337</v>
      </c>
      <c r="AZ35" s="4" t="s">
        <v>60</v>
      </c>
      <c r="BA35" s="4" t="s">
        <v>60</v>
      </c>
      <c r="BB35" s="4" t="s">
        <v>125</v>
      </c>
      <c r="BC35" s="4" t="s">
        <v>205</v>
      </c>
      <c r="BD35" s="9"/>
    </row>
    <row r="36" spans="1:56" ht="105" x14ac:dyDescent="0.25">
      <c r="A36" s="4">
        <v>32</v>
      </c>
      <c r="B36" s="4" t="s">
        <v>70</v>
      </c>
      <c r="C36" s="4" t="s">
        <v>206</v>
      </c>
      <c r="D36" s="4" t="s">
        <v>207</v>
      </c>
      <c r="E36" s="4" t="s">
        <v>88</v>
      </c>
      <c r="F36" s="4">
        <v>9527542559</v>
      </c>
      <c r="G36" s="4" t="s">
        <v>203</v>
      </c>
      <c r="H36" s="4" t="s">
        <v>58</v>
      </c>
      <c r="I36" s="10" t="s">
        <v>57</v>
      </c>
      <c r="J36" s="14">
        <v>58</v>
      </c>
      <c r="K36" s="4">
        <v>39</v>
      </c>
      <c r="L36" s="4">
        <v>0</v>
      </c>
      <c r="M36" s="15">
        <v>97</v>
      </c>
      <c r="N36" s="14">
        <v>2</v>
      </c>
      <c r="O36" s="4">
        <v>4</v>
      </c>
      <c r="P36" s="15">
        <v>1</v>
      </c>
      <c r="Q36" s="12" t="s">
        <v>58</v>
      </c>
      <c r="R36" s="4" t="s">
        <v>208</v>
      </c>
      <c r="S36" s="4" t="s">
        <v>60</v>
      </c>
      <c r="T36" s="4" t="s">
        <v>60</v>
      </c>
      <c r="U36" s="4" t="s">
        <v>57</v>
      </c>
      <c r="V36" s="4" t="s">
        <v>60</v>
      </c>
      <c r="W36" s="4" t="s">
        <v>62</v>
      </c>
      <c r="X36" s="4" t="s">
        <v>57</v>
      </c>
      <c r="Y36" s="4" t="s">
        <v>58</v>
      </c>
      <c r="Z36" s="4">
        <v>2</v>
      </c>
      <c r="AA36" s="4">
        <v>2</v>
      </c>
      <c r="AB36" s="4">
        <v>10</v>
      </c>
      <c r="AC36" s="4">
        <v>10</v>
      </c>
      <c r="AD36" s="4" t="s">
        <v>58</v>
      </c>
      <c r="AE36" s="4" t="s">
        <v>57</v>
      </c>
      <c r="AF36" s="4" t="s">
        <v>57</v>
      </c>
      <c r="AG36" s="4" t="s">
        <v>60</v>
      </c>
      <c r="AH36" s="4" t="s">
        <v>60</v>
      </c>
      <c r="AI36" s="4" t="s">
        <v>60</v>
      </c>
      <c r="AJ36" s="4" t="s">
        <v>60</v>
      </c>
      <c r="AK36" s="4" t="s">
        <v>209</v>
      </c>
      <c r="AL36" s="4" t="s">
        <v>57</v>
      </c>
      <c r="AM36" s="4" t="s">
        <v>158</v>
      </c>
      <c r="AN36" s="4" t="s">
        <v>57</v>
      </c>
      <c r="AO36" s="4" t="s">
        <v>60</v>
      </c>
      <c r="AP36" s="4" t="s">
        <v>60</v>
      </c>
      <c r="AQ36" s="4" t="s">
        <v>60</v>
      </c>
      <c r="AR36" s="4" t="s">
        <v>60</v>
      </c>
      <c r="AS36" s="4" t="s">
        <v>57</v>
      </c>
      <c r="AT36" s="4" t="s">
        <v>57</v>
      </c>
      <c r="AU36" s="4" t="s">
        <v>60</v>
      </c>
      <c r="AV36" s="4" t="s">
        <v>60</v>
      </c>
      <c r="AW36" s="4" t="s">
        <v>60</v>
      </c>
      <c r="AX36" s="4" t="s">
        <v>60</v>
      </c>
      <c r="AY36" s="4" t="s">
        <v>60</v>
      </c>
      <c r="AZ36" s="4" t="s">
        <v>60</v>
      </c>
      <c r="BA36" s="4" t="s">
        <v>60</v>
      </c>
      <c r="BB36" s="4" t="s">
        <v>210</v>
      </c>
      <c r="BC36" s="4" t="s">
        <v>211</v>
      </c>
      <c r="BD36" s="9"/>
    </row>
    <row r="37" spans="1:56" ht="60" x14ac:dyDescent="0.25">
      <c r="A37" s="4">
        <v>33</v>
      </c>
      <c r="B37" s="4" t="s">
        <v>212</v>
      </c>
      <c r="C37" s="4" t="s">
        <v>213</v>
      </c>
      <c r="D37" s="4" t="s">
        <v>214</v>
      </c>
      <c r="E37" s="4" t="s">
        <v>88</v>
      </c>
      <c r="F37" s="4">
        <v>9405857567</v>
      </c>
      <c r="G37" s="4" t="s">
        <v>215</v>
      </c>
      <c r="H37" s="4" t="s">
        <v>58</v>
      </c>
      <c r="I37" s="10" t="s">
        <v>57</v>
      </c>
      <c r="J37" s="14">
        <v>20</v>
      </c>
      <c r="K37" s="4">
        <v>190</v>
      </c>
      <c r="L37" s="4" t="s">
        <v>216</v>
      </c>
      <c r="M37" s="15">
        <v>410</v>
      </c>
      <c r="N37" s="14">
        <v>9</v>
      </c>
      <c r="O37" s="4">
        <v>5</v>
      </c>
      <c r="P37" s="15">
        <v>5</v>
      </c>
      <c r="Q37" s="12" t="s">
        <v>142</v>
      </c>
      <c r="R37" s="4" t="s">
        <v>60</v>
      </c>
      <c r="S37" s="4" t="s">
        <v>60</v>
      </c>
      <c r="T37" s="4" t="s">
        <v>60</v>
      </c>
      <c r="U37" s="4" t="s">
        <v>62</v>
      </c>
      <c r="V37" s="4" t="s">
        <v>58</v>
      </c>
      <c r="W37" s="4" t="s">
        <v>62</v>
      </c>
      <c r="X37" s="4" t="s">
        <v>57</v>
      </c>
      <c r="Y37" s="4" t="s">
        <v>58</v>
      </c>
      <c r="Z37" s="4">
        <v>8</v>
      </c>
      <c r="AA37" s="4">
        <v>9</v>
      </c>
      <c r="AB37" s="4">
        <v>8</v>
      </c>
      <c r="AC37" s="4">
        <v>0</v>
      </c>
      <c r="AD37" s="4" t="s">
        <v>60</v>
      </c>
      <c r="AE37" s="4" t="s">
        <v>57</v>
      </c>
      <c r="AF37" s="4" t="s">
        <v>57</v>
      </c>
      <c r="AG37" s="4" t="s">
        <v>60</v>
      </c>
      <c r="AH37" s="4" t="s">
        <v>60</v>
      </c>
      <c r="AI37" s="4" t="s">
        <v>60</v>
      </c>
      <c r="AJ37" s="4" t="s">
        <v>60</v>
      </c>
      <c r="AK37" s="4" t="s">
        <v>58</v>
      </c>
      <c r="AL37" s="4" t="s">
        <v>58</v>
      </c>
      <c r="AM37" s="4" t="s">
        <v>217</v>
      </c>
      <c r="AN37" s="4" t="s">
        <v>58</v>
      </c>
      <c r="AO37" s="4" t="s">
        <v>60</v>
      </c>
      <c r="AP37" s="4" t="s">
        <v>60</v>
      </c>
      <c r="AQ37" s="4" t="s">
        <v>60</v>
      </c>
      <c r="AR37" s="4" t="s">
        <v>60</v>
      </c>
      <c r="AS37" s="4" t="s">
        <v>57</v>
      </c>
      <c r="AT37" s="4" t="s">
        <v>57</v>
      </c>
      <c r="AU37" s="8" t="s">
        <v>60</v>
      </c>
      <c r="AV37" s="4" t="s">
        <v>264</v>
      </c>
      <c r="AW37" s="4" t="s">
        <v>295</v>
      </c>
      <c r="AX37" s="4" t="s">
        <v>60</v>
      </c>
      <c r="AY37" s="4" t="s">
        <v>60</v>
      </c>
      <c r="AZ37" s="4" t="s">
        <v>57</v>
      </c>
      <c r="BA37" s="4" t="s">
        <v>60</v>
      </c>
      <c r="BB37" s="4" t="s">
        <v>125</v>
      </c>
      <c r="BC37" s="4" t="s">
        <v>218</v>
      </c>
      <c r="BD37" s="9"/>
    </row>
    <row r="38" spans="1:56" ht="45" x14ac:dyDescent="0.25">
      <c r="A38" s="4">
        <v>34</v>
      </c>
      <c r="B38" s="4" t="s">
        <v>52</v>
      </c>
      <c r="C38" s="4" t="s">
        <v>221</v>
      </c>
      <c r="D38" s="4" t="s">
        <v>222</v>
      </c>
      <c r="E38" s="4" t="s">
        <v>88</v>
      </c>
      <c r="F38" s="4">
        <v>8698017832</v>
      </c>
      <c r="G38" s="4" t="s">
        <v>242</v>
      </c>
      <c r="H38" s="4" t="s">
        <v>58</v>
      </c>
      <c r="I38" s="10" t="s">
        <v>57</v>
      </c>
      <c r="J38" s="14">
        <v>4</v>
      </c>
      <c r="K38" s="4">
        <v>6</v>
      </c>
      <c r="L38" s="4">
        <v>10</v>
      </c>
      <c r="M38" s="15">
        <v>0</v>
      </c>
      <c r="N38" s="14">
        <v>1</v>
      </c>
      <c r="O38" s="4">
        <v>0</v>
      </c>
      <c r="P38" s="15" t="s">
        <v>60</v>
      </c>
      <c r="Q38" s="12" t="s">
        <v>60</v>
      </c>
      <c r="R38" s="4" t="s">
        <v>61</v>
      </c>
      <c r="S38" s="4" t="s">
        <v>57</v>
      </c>
      <c r="T38" s="4" t="s">
        <v>61</v>
      </c>
      <c r="U38" s="4" t="s">
        <v>58</v>
      </c>
      <c r="V38" s="4" t="s">
        <v>60</v>
      </c>
      <c r="W38" s="4" t="s">
        <v>57</v>
      </c>
      <c r="X38" s="4" t="s">
        <v>57</v>
      </c>
      <c r="Y38" s="4" t="s">
        <v>62</v>
      </c>
      <c r="Z38" s="4">
        <v>1</v>
      </c>
      <c r="AA38" s="4">
        <v>1</v>
      </c>
      <c r="AB38" s="4">
        <v>1</v>
      </c>
      <c r="AC38" s="4">
        <v>1</v>
      </c>
      <c r="AD38" s="4" t="s">
        <v>58</v>
      </c>
      <c r="AE38" s="4" t="s">
        <v>57</v>
      </c>
      <c r="AF38" s="4" t="s">
        <v>60</v>
      </c>
      <c r="AG38" s="4" t="s">
        <v>60</v>
      </c>
      <c r="AH38" s="4" t="s">
        <v>57</v>
      </c>
      <c r="AI38" s="4" t="s">
        <v>57</v>
      </c>
      <c r="AJ38" s="4" t="s">
        <v>57</v>
      </c>
      <c r="AK38" s="4" t="s">
        <v>58</v>
      </c>
      <c r="AL38" s="4" t="s">
        <v>58</v>
      </c>
      <c r="AM38" s="4" t="s">
        <v>57</v>
      </c>
      <c r="AN38" s="4" t="s">
        <v>57</v>
      </c>
      <c r="AO38" s="4" t="s">
        <v>60</v>
      </c>
      <c r="AP38" s="4" t="s">
        <v>57</v>
      </c>
      <c r="AQ38" s="4" t="s">
        <v>60</v>
      </c>
      <c r="AR38" s="4" t="s">
        <v>60</v>
      </c>
      <c r="AS38" s="4" t="s">
        <v>57</v>
      </c>
      <c r="AT38" s="4" t="s">
        <v>60</v>
      </c>
      <c r="AU38" s="4" t="s">
        <v>60</v>
      </c>
      <c r="AV38" s="4" t="s">
        <v>58</v>
      </c>
      <c r="AW38" s="4" t="s">
        <v>58</v>
      </c>
      <c r="AX38" s="4" t="s">
        <v>60</v>
      </c>
      <c r="AY38" s="4" t="s">
        <v>57</v>
      </c>
      <c r="AZ38" s="4" t="s">
        <v>60</v>
      </c>
      <c r="BA38" s="4" t="s">
        <v>57</v>
      </c>
      <c r="BB38" s="4" t="s">
        <v>60</v>
      </c>
      <c r="BC38" s="4"/>
      <c r="BD38" s="9"/>
    </row>
    <row r="39" spans="1:56" ht="135" x14ac:dyDescent="0.25">
      <c r="A39" s="4">
        <v>35</v>
      </c>
      <c r="B39" s="4" t="s">
        <v>223</v>
      </c>
      <c r="C39" s="4" t="s">
        <v>224</v>
      </c>
      <c r="D39" s="4" t="s">
        <v>225</v>
      </c>
      <c r="E39" s="4" t="s">
        <v>88</v>
      </c>
      <c r="F39" s="4">
        <v>9767891991</v>
      </c>
      <c r="G39" s="4" t="s">
        <v>220</v>
      </c>
      <c r="H39" s="4" t="s">
        <v>58</v>
      </c>
      <c r="I39" s="10" t="s">
        <v>60</v>
      </c>
      <c r="J39" s="14">
        <v>86</v>
      </c>
      <c r="K39" s="4">
        <v>93</v>
      </c>
      <c r="L39" s="4">
        <v>0</v>
      </c>
      <c r="M39" s="15">
        <v>179</v>
      </c>
      <c r="N39" s="14">
        <v>5</v>
      </c>
      <c r="O39" s="4">
        <v>4</v>
      </c>
      <c r="P39" s="15">
        <v>0</v>
      </c>
      <c r="Q39" s="12" t="s">
        <v>60</v>
      </c>
      <c r="R39" s="4" t="s">
        <v>61</v>
      </c>
      <c r="S39" s="4" t="s">
        <v>57</v>
      </c>
      <c r="T39" s="4" t="s">
        <v>61</v>
      </c>
      <c r="U39" s="4" t="s">
        <v>62</v>
      </c>
      <c r="V39" s="4" t="s">
        <v>57</v>
      </c>
      <c r="W39" s="7" t="s">
        <v>57</v>
      </c>
      <c r="X39" s="4" t="s">
        <v>57</v>
      </c>
      <c r="Y39" s="4" t="s">
        <v>60</v>
      </c>
      <c r="Z39" s="4" t="s">
        <v>61</v>
      </c>
      <c r="AA39" s="4" t="s">
        <v>61</v>
      </c>
      <c r="AB39" s="4" t="s">
        <v>61</v>
      </c>
      <c r="AC39" s="4" t="s">
        <v>61</v>
      </c>
      <c r="AD39" s="4" t="s">
        <v>58</v>
      </c>
      <c r="AE39" s="4" t="s">
        <v>57</v>
      </c>
      <c r="AF39" s="4" t="s">
        <v>57</v>
      </c>
      <c r="AG39" s="4" t="s">
        <v>60</v>
      </c>
      <c r="AH39" s="4" t="s">
        <v>60</v>
      </c>
      <c r="AI39" s="4" t="s">
        <v>60</v>
      </c>
      <c r="AJ39" s="4" t="s">
        <v>57</v>
      </c>
      <c r="AK39" s="4" t="s">
        <v>57</v>
      </c>
      <c r="AL39" s="4" t="s">
        <v>57</v>
      </c>
      <c r="AM39" s="4" t="s">
        <v>57</v>
      </c>
      <c r="AN39" s="4" t="s">
        <v>57</v>
      </c>
      <c r="AO39" s="4" t="s">
        <v>60</v>
      </c>
      <c r="AP39" s="4" t="s">
        <v>57</v>
      </c>
      <c r="AQ39" s="4" t="s">
        <v>60</v>
      </c>
      <c r="AR39" s="4" t="s">
        <v>60</v>
      </c>
      <c r="AS39" s="4" t="s">
        <v>57</v>
      </c>
      <c r="AT39" s="4" t="s">
        <v>57</v>
      </c>
      <c r="AU39" s="4" t="s">
        <v>60</v>
      </c>
      <c r="AV39" s="4" t="s">
        <v>58</v>
      </c>
      <c r="AW39" s="4" t="s">
        <v>58</v>
      </c>
      <c r="AX39" s="4" t="s">
        <v>60</v>
      </c>
      <c r="AY39" s="4" t="s">
        <v>57</v>
      </c>
      <c r="AZ39" s="4" t="s">
        <v>57</v>
      </c>
      <c r="BA39" s="4" t="s">
        <v>60</v>
      </c>
      <c r="BB39" s="4" t="s">
        <v>125</v>
      </c>
      <c r="BC39" s="4" t="s">
        <v>226</v>
      </c>
      <c r="BD39" s="9"/>
    </row>
    <row r="40" spans="1:56" ht="75" x14ac:dyDescent="0.25">
      <c r="A40" s="4">
        <v>36</v>
      </c>
      <c r="B40" s="4" t="s">
        <v>52</v>
      </c>
      <c r="C40" s="4" t="s">
        <v>227</v>
      </c>
      <c r="D40" s="4" t="s">
        <v>228</v>
      </c>
      <c r="E40" s="4" t="s">
        <v>88</v>
      </c>
      <c r="F40" s="4">
        <v>7498447838</v>
      </c>
      <c r="G40" s="7" t="s">
        <v>181</v>
      </c>
      <c r="H40" s="4" t="s">
        <v>58</v>
      </c>
      <c r="I40" s="10" t="s">
        <v>57</v>
      </c>
      <c r="J40" s="14">
        <v>133</v>
      </c>
      <c r="K40" s="4">
        <v>132</v>
      </c>
      <c r="L40" s="4">
        <v>0</v>
      </c>
      <c r="M40" s="15">
        <v>265</v>
      </c>
      <c r="N40" s="14">
        <v>2</v>
      </c>
      <c r="O40" s="4">
        <v>3</v>
      </c>
      <c r="P40" s="15">
        <v>0</v>
      </c>
      <c r="Q40" s="12" t="s">
        <v>62</v>
      </c>
      <c r="R40" s="4" t="s">
        <v>60</v>
      </c>
      <c r="S40" s="4" t="s">
        <v>57</v>
      </c>
      <c r="T40" s="4" t="s">
        <v>57</v>
      </c>
      <c r="U40" s="4" t="s">
        <v>62</v>
      </c>
      <c r="V40" s="4" t="s">
        <v>58</v>
      </c>
      <c r="W40" s="4" t="s">
        <v>62</v>
      </c>
      <c r="X40" s="4" t="s">
        <v>57</v>
      </c>
      <c r="Y40" s="4" t="s">
        <v>58</v>
      </c>
      <c r="Z40" s="4">
        <v>1</v>
      </c>
      <c r="AA40" s="4">
        <v>1</v>
      </c>
      <c r="AB40" s="4">
        <v>3</v>
      </c>
      <c r="AC40" s="4">
        <v>3</v>
      </c>
      <c r="AD40" s="4" t="s">
        <v>58</v>
      </c>
      <c r="AE40" s="4" t="s">
        <v>57</v>
      </c>
      <c r="AF40" s="4" t="s">
        <v>57</v>
      </c>
      <c r="AG40" s="4" t="s">
        <v>60</v>
      </c>
      <c r="AH40" s="4" t="s">
        <v>60</v>
      </c>
      <c r="AI40" s="4" t="s">
        <v>60</v>
      </c>
      <c r="AJ40" s="4" t="s">
        <v>57</v>
      </c>
      <c r="AK40" s="4" t="s">
        <v>58</v>
      </c>
      <c r="AL40" s="4" t="s">
        <v>58</v>
      </c>
      <c r="AM40" s="4" t="s">
        <v>229</v>
      </c>
      <c r="AN40" s="4" t="s">
        <v>58</v>
      </c>
      <c r="AO40" s="4" t="s">
        <v>60</v>
      </c>
      <c r="AP40" s="4" t="s">
        <v>60</v>
      </c>
      <c r="AQ40" s="4" t="s">
        <v>60</v>
      </c>
      <c r="AR40" s="4" t="s">
        <v>60</v>
      </c>
      <c r="AS40" s="4" t="s">
        <v>58</v>
      </c>
      <c r="AT40" s="4" t="s">
        <v>60</v>
      </c>
      <c r="AU40" s="4" t="s">
        <v>60</v>
      </c>
      <c r="AV40" s="4" t="s">
        <v>58</v>
      </c>
      <c r="AW40" s="4" t="s">
        <v>58</v>
      </c>
      <c r="AX40" s="4" t="s">
        <v>60</v>
      </c>
      <c r="AY40" s="4" t="s">
        <v>60</v>
      </c>
      <c r="AZ40" s="4" t="s">
        <v>60</v>
      </c>
      <c r="BA40" s="4" t="s">
        <v>60</v>
      </c>
      <c r="BB40" s="4" t="s">
        <v>265</v>
      </c>
      <c r="BC40" s="4" t="s">
        <v>266</v>
      </c>
      <c r="BD40" s="9"/>
    </row>
    <row r="41" spans="1:56" ht="120" x14ac:dyDescent="0.25">
      <c r="A41" s="4">
        <v>37</v>
      </c>
      <c r="B41" s="4" t="s">
        <v>52</v>
      </c>
      <c r="C41" s="4" t="s">
        <v>230</v>
      </c>
      <c r="D41" s="4" t="s">
        <v>231</v>
      </c>
      <c r="E41" s="4" t="s">
        <v>88</v>
      </c>
      <c r="F41" s="4">
        <v>9552318138</v>
      </c>
      <c r="G41" s="4" t="s">
        <v>242</v>
      </c>
      <c r="H41" s="4" t="s">
        <v>58</v>
      </c>
      <c r="I41" s="10" t="s">
        <v>57</v>
      </c>
      <c r="J41" s="14">
        <v>8</v>
      </c>
      <c r="K41" s="4">
        <v>6</v>
      </c>
      <c r="L41" s="4">
        <v>0</v>
      </c>
      <c r="M41" s="15">
        <v>14</v>
      </c>
      <c r="N41" s="14">
        <v>2</v>
      </c>
      <c r="O41" s="4">
        <v>0</v>
      </c>
      <c r="P41" s="15">
        <v>0</v>
      </c>
      <c r="Q41" s="12" t="s">
        <v>58</v>
      </c>
      <c r="R41" s="4" t="s">
        <v>57</v>
      </c>
      <c r="S41" s="4" t="s">
        <v>57</v>
      </c>
      <c r="T41" s="4" t="s">
        <v>60</v>
      </c>
      <c r="U41" s="4" t="s">
        <v>62</v>
      </c>
      <c r="V41" s="4" t="s">
        <v>58</v>
      </c>
      <c r="W41" s="4" t="s">
        <v>62</v>
      </c>
      <c r="X41" s="4" t="s">
        <v>57</v>
      </c>
      <c r="Y41" s="4" t="s">
        <v>62</v>
      </c>
      <c r="Z41" s="4">
        <v>1</v>
      </c>
      <c r="AA41" s="4">
        <v>1</v>
      </c>
      <c r="AB41" s="4">
        <v>2</v>
      </c>
      <c r="AC41" s="4">
        <v>2</v>
      </c>
      <c r="AD41" s="4" t="s">
        <v>58</v>
      </c>
      <c r="AE41" s="4" t="s">
        <v>57</v>
      </c>
      <c r="AF41" s="4" t="s">
        <v>60</v>
      </c>
      <c r="AG41" s="4" t="s">
        <v>60</v>
      </c>
      <c r="AH41" s="4" t="s">
        <v>60</v>
      </c>
      <c r="AI41" s="4" t="s">
        <v>57</v>
      </c>
      <c r="AJ41" s="4" t="s">
        <v>57</v>
      </c>
      <c r="AK41" s="4" t="s">
        <v>60</v>
      </c>
      <c r="AL41" s="4" t="s">
        <v>58</v>
      </c>
      <c r="AM41" s="4" t="s">
        <v>232</v>
      </c>
      <c r="AN41" s="4" t="s">
        <v>58</v>
      </c>
      <c r="AO41" s="4" t="s">
        <v>60</v>
      </c>
      <c r="AP41" s="4" t="s">
        <v>60</v>
      </c>
      <c r="AQ41" s="4" t="s">
        <v>60</v>
      </c>
      <c r="AR41" s="4" t="s">
        <v>60</v>
      </c>
      <c r="AS41" s="4" t="s">
        <v>57</v>
      </c>
      <c r="AT41" s="4" t="s">
        <v>60</v>
      </c>
      <c r="AU41" s="4" t="s">
        <v>60</v>
      </c>
      <c r="AV41" s="4" t="s">
        <v>58</v>
      </c>
      <c r="AW41" s="4" t="s">
        <v>58</v>
      </c>
      <c r="AX41" s="4" t="s">
        <v>60</v>
      </c>
      <c r="AY41" s="4" t="s">
        <v>57</v>
      </c>
      <c r="AZ41" s="4" t="s">
        <v>60</v>
      </c>
      <c r="BA41" s="4" t="s">
        <v>57</v>
      </c>
      <c r="BB41" s="4" t="s">
        <v>60</v>
      </c>
      <c r="BC41" s="4" t="s">
        <v>233</v>
      </c>
      <c r="BD41" s="9"/>
    </row>
    <row r="42" spans="1:56" ht="45" x14ac:dyDescent="0.25">
      <c r="A42" s="4">
        <v>38</v>
      </c>
      <c r="B42" s="4" t="s">
        <v>52</v>
      </c>
      <c r="C42" s="4" t="s">
        <v>234</v>
      </c>
      <c r="D42" s="4" t="s">
        <v>235</v>
      </c>
      <c r="E42" s="4" t="s">
        <v>112</v>
      </c>
      <c r="F42" s="4">
        <v>9764521889</v>
      </c>
      <c r="G42" s="7" t="s">
        <v>181</v>
      </c>
      <c r="H42" s="4" t="s">
        <v>58</v>
      </c>
      <c r="I42" s="10" t="s">
        <v>57</v>
      </c>
      <c r="J42" s="14">
        <v>39</v>
      </c>
      <c r="K42" s="4">
        <v>35</v>
      </c>
      <c r="L42" s="4">
        <v>74</v>
      </c>
      <c r="M42" s="15">
        <v>3</v>
      </c>
      <c r="N42" s="14">
        <v>0</v>
      </c>
      <c r="O42" s="4">
        <v>0</v>
      </c>
      <c r="P42" s="15">
        <v>0</v>
      </c>
      <c r="Q42" s="12" t="s">
        <v>142</v>
      </c>
      <c r="R42" s="4" t="s">
        <v>57</v>
      </c>
      <c r="S42" s="4" t="s">
        <v>60</v>
      </c>
      <c r="T42" s="4" t="s">
        <v>60</v>
      </c>
      <c r="U42" s="4" t="s">
        <v>60</v>
      </c>
      <c r="V42" s="4" t="s">
        <v>58</v>
      </c>
      <c r="W42" s="4" t="s">
        <v>62</v>
      </c>
      <c r="X42" s="4" t="s">
        <v>57</v>
      </c>
      <c r="Y42" s="4" t="s">
        <v>58</v>
      </c>
      <c r="Z42" s="4">
        <v>2</v>
      </c>
      <c r="AA42" s="4">
        <v>2</v>
      </c>
      <c r="AB42" s="4">
        <v>3</v>
      </c>
      <c r="AC42" s="4">
        <v>3</v>
      </c>
      <c r="AD42" s="4" t="s">
        <v>58</v>
      </c>
      <c r="AE42" s="4" t="s">
        <v>57</v>
      </c>
      <c r="AF42" s="4" t="s">
        <v>60</v>
      </c>
      <c r="AG42" s="4" t="s">
        <v>60</v>
      </c>
      <c r="AH42" s="4" t="s">
        <v>60</v>
      </c>
      <c r="AI42" s="4" t="s">
        <v>57</v>
      </c>
      <c r="AJ42" s="4" t="s">
        <v>60</v>
      </c>
      <c r="AK42" s="4" t="s">
        <v>60</v>
      </c>
      <c r="AL42" s="4" t="s">
        <v>58</v>
      </c>
      <c r="AM42" s="4" t="s">
        <v>93</v>
      </c>
      <c r="AN42" s="4" t="s">
        <v>58</v>
      </c>
      <c r="AO42" s="4" t="s">
        <v>60</v>
      </c>
      <c r="AP42" s="4" t="s">
        <v>60</v>
      </c>
      <c r="AQ42" s="4" t="s">
        <v>60</v>
      </c>
      <c r="AR42" s="4" t="s">
        <v>60</v>
      </c>
      <c r="AS42" s="4" t="s">
        <v>57</v>
      </c>
      <c r="AT42" s="4" t="s">
        <v>60</v>
      </c>
      <c r="AU42" s="4" t="s">
        <v>60</v>
      </c>
      <c r="AV42" s="4" t="s">
        <v>58</v>
      </c>
      <c r="AW42" s="4" t="s">
        <v>58</v>
      </c>
      <c r="AX42" s="4" t="s">
        <v>60</v>
      </c>
      <c r="AY42" s="4" t="s">
        <v>57</v>
      </c>
      <c r="AZ42" s="4" t="s">
        <v>60</v>
      </c>
      <c r="BA42" s="4" t="s">
        <v>60</v>
      </c>
      <c r="BB42" s="4" t="s">
        <v>236</v>
      </c>
      <c r="BC42" s="4" t="s">
        <v>237</v>
      </c>
      <c r="BD42" s="9"/>
    </row>
    <row r="43" spans="1:56" ht="75.75" thickBot="1" x14ac:dyDescent="0.3">
      <c r="A43" s="4">
        <v>39</v>
      </c>
      <c r="B43" s="4" t="s">
        <v>52</v>
      </c>
      <c r="C43" s="4" t="s">
        <v>238</v>
      </c>
      <c r="D43" s="4" t="s">
        <v>239</v>
      </c>
      <c r="E43" s="4" t="s">
        <v>112</v>
      </c>
      <c r="F43" s="4">
        <v>9850831868</v>
      </c>
      <c r="G43" s="4" t="s">
        <v>148</v>
      </c>
      <c r="H43" s="4" t="s">
        <v>58</v>
      </c>
      <c r="I43" s="10" t="s">
        <v>57</v>
      </c>
      <c r="J43" s="18">
        <v>83</v>
      </c>
      <c r="K43" s="19">
        <v>76</v>
      </c>
      <c r="L43" s="19">
        <v>0</v>
      </c>
      <c r="M43" s="20">
        <v>159</v>
      </c>
      <c r="N43" s="18">
        <v>2</v>
      </c>
      <c r="O43" s="19">
        <v>3</v>
      </c>
      <c r="P43" s="20">
        <v>0</v>
      </c>
      <c r="Q43" s="12" t="s">
        <v>142</v>
      </c>
      <c r="R43" s="4" t="s">
        <v>57</v>
      </c>
      <c r="S43" s="4" t="s">
        <v>60</v>
      </c>
      <c r="T43" s="4" t="s">
        <v>60</v>
      </c>
      <c r="U43" s="4" t="s">
        <v>62</v>
      </c>
      <c r="V43" s="4" t="s">
        <v>58</v>
      </c>
      <c r="W43" s="4" t="s">
        <v>62</v>
      </c>
      <c r="X43" s="4" t="s">
        <v>57</v>
      </c>
      <c r="Y43" s="4" t="s">
        <v>58</v>
      </c>
      <c r="Z43" s="4">
        <v>3</v>
      </c>
      <c r="AA43" s="4">
        <v>3</v>
      </c>
      <c r="AB43" s="4">
        <v>3</v>
      </c>
      <c r="AC43" s="4">
        <v>3</v>
      </c>
      <c r="AD43" s="4" t="s">
        <v>60</v>
      </c>
      <c r="AE43" s="4" t="s">
        <v>57</v>
      </c>
      <c r="AF43" s="4" t="s">
        <v>60</v>
      </c>
      <c r="AG43" s="4" t="s">
        <v>60</v>
      </c>
      <c r="AH43" s="4" t="s">
        <v>60</v>
      </c>
      <c r="AI43" s="4" t="s">
        <v>60</v>
      </c>
      <c r="AJ43" s="4" t="s">
        <v>57</v>
      </c>
      <c r="AK43" s="4" t="s">
        <v>58</v>
      </c>
      <c r="AL43" s="4" t="s">
        <v>58</v>
      </c>
      <c r="AM43" s="4" t="s">
        <v>276</v>
      </c>
      <c r="AN43" s="4" t="s">
        <v>58</v>
      </c>
      <c r="AO43" s="4" t="s">
        <v>57</v>
      </c>
      <c r="AP43" s="4" t="s">
        <v>60</v>
      </c>
      <c r="AQ43" s="4" t="s">
        <v>60</v>
      </c>
      <c r="AR43" s="4" t="s">
        <v>60</v>
      </c>
      <c r="AS43" s="4" t="s">
        <v>57</v>
      </c>
      <c r="AT43" s="4" t="s">
        <v>60</v>
      </c>
      <c r="AU43" s="4" t="s">
        <v>60</v>
      </c>
      <c r="AV43" s="4" t="s">
        <v>58</v>
      </c>
      <c r="AW43" s="4" t="s">
        <v>58</v>
      </c>
      <c r="AX43" s="4" t="s">
        <v>60</v>
      </c>
      <c r="AY43" s="4" t="s">
        <v>57</v>
      </c>
      <c r="AZ43" s="4" t="s">
        <v>60</v>
      </c>
      <c r="BA43" s="4" t="s">
        <v>60</v>
      </c>
      <c r="BB43" s="4" t="s">
        <v>240</v>
      </c>
      <c r="BC43" s="4" t="s">
        <v>241</v>
      </c>
      <c r="BD43" s="9"/>
    </row>
    <row r="44" spans="1:56" x14ac:dyDescent="0.25">
      <c r="A44" s="1"/>
      <c r="B44" s="1"/>
      <c r="C44" s="1"/>
      <c r="D44" s="1"/>
      <c r="E44" s="1"/>
      <c r="F44" s="1"/>
      <c r="G44" s="1"/>
      <c r="H44" s="1">
        <v>39</v>
      </c>
      <c r="I44" s="1" t="s">
        <v>271</v>
      </c>
      <c r="J44" s="13"/>
      <c r="K44" s="13"/>
      <c r="L44" s="13"/>
      <c r="M44" s="13"/>
      <c r="N44" s="13"/>
      <c r="O44" s="13"/>
      <c r="P44" s="13"/>
      <c r="Q44" s="1" t="s">
        <v>57</v>
      </c>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row>
    <row r="45" spans="1:56" x14ac:dyDescent="0.25">
      <c r="A45" s="1"/>
      <c r="B45" s="1"/>
      <c r="C45" s="1"/>
      <c r="D45" s="1"/>
      <c r="E45" s="1"/>
      <c r="F45" s="1"/>
      <c r="G45" s="1"/>
      <c r="H45" s="1"/>
      <c r="I45" s="1" t="s">
        <v>272</v>
      </c>
      <c r="J45" s="1"/>
      <c r="K45" s="1"/>
      <c r="L45" s="1"/>
      <c r="M45" s="1"/>
      <c r="N45" s="1"/>
      <c r="O45" s="1"/>
      <c r="P45" s="1"/>
      <c r="Q45" s="1" t="s">
        <v>60</v>
      </c>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row>
    <row r="46" spans="1:56" x14ac:dyDescent="0.25">
      <c r="A46" s="1"/>
      <c r="B46" s="1"/>
      <c r="C46" s="1"/>
      <c r="D46" s="1"/>
      <c r="E46" s="1"/>
      <c r="F46" s="1"/>
      <c r="G46" s="1"/>
      <c r="H46" s="1"/>
      <c r="I46" s="1"/>
      <c r="J46" s="1"/>
      <c r="K46" s="1"/>
      <c r="L46" s="1"/>
      <c r="M46" s="1"/>
      <c r="N46" s="1"/>
      <c r="O46" s="1"/>
      <c r="P46" s="1"/>
      <c r="Q46" s="1" t="s">
        <v>58</v>
      </c>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row>
    <row r="47" spans="1:56"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row>
    <row r="48" spans="1:56"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row>
    <row r="49" spans="1:55"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row>
    <row r="50" spans="1:55"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row>
    <row r="51" spans="1:55"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row>
    <row r="52" spans="1:55"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row>
    <row r="53" spans="1:55"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row>
    <row r="54" spans="1:55"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row>
    <row r="55" spans="1:55"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row>
    <row r="56" spans="1:55"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row>
    <row r="57" spans="1:55"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row>
    <row r="58" spans="1:55"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row>
    <row r="59" spans="1:55"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row>
    <row r="60" spans="1:55"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row>
    <row r="61" spans="1:55"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row>
    <row r="62" spans="1:5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row>
    <row r="63" spans="1:55"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row>
    <row r="64" spans="1:55"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row>
    <row r="65" spans="1:55"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row>
    <row r="66" spans="1:55"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row>
    <row r="67" spans="1:55"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row>
    <row r="68" spans="1:55"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row>
    <row r="69" spans="1:55"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row>
    <row r="70" spans="1:55"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row>
    <row r="71" spans="1:55"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row>
    <row r="72" spans="1:55"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row>
    <row r="73" spans="1:55"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row>
    <row r="74" spans="1:55"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row>
    <row r="75" spans="1:55"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row>
    <row r="76" spans="1:55"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row>
    <row r="77" spans="1:55"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row>
  </sheetData>
  <autoFilter ref="BB1:BB77" xr:uid="{D9749357-7915-4DD0-BA70-240FD31C3535}"/>
  <mergeCells count="12">
    <mergeCell ref="D1:P1"/>
    <mergeCell ref="Q1:AP1"/>
    <mergeCell ref="AQ1:AW1"/>
    <mergeCell ref="AX1:BB1"/>
    <mergeCell ref="Z3:AA3"/>
    <mergeCell ref="AB3:AC3"/>
    <mergeCell ref="Z2:AA2"/>
    <mergeCell ref="AB2:AC2"/>
    <mergeCell ref="J3:M3"/>
    <mergeCell ref="N3:P3"/>
    <mergeCell ref="N2:P2"/>
    <mergeCell ref="J2:M2"/>
  </mergeCells>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F1858-9453-4AC3-950C-BDA23A6EDD86}">
  <dimension ref="A1:J251"/>
  <sheetViews>
    <sheetView workbookViewId="0">
      <selection activeCell="F86" sqref="F86"/>
    </sheetView>
  </sheetViews>
  <sheetFormatPr defaultRowHeight="15.75" x14ac:dyDescent="0.25"/>
  <cols>
    <col min="1" max="1" width="9.140625" style="29"/>
    <col min="2" max="2" width="25" style="29" customWidth="1"/>
    <col min="3" max="3" width="11.85546875" style="29" customWidth="1"/>
    <col min="4" max="4" width="11" style="29" customWidth="1"/>
    <col min="5" max="5" width="9.140625" style="29"/>
    <col min="6" max="6" width="63.5703125" style="29" customWidth="1"/>
    <col min="7" max="7" width="9.140625" style="29"/>
    <col min="8" max="8" width="24.28515625" style="29" customWidth="1"/>
    <col min="9" max="9" width="19.7109375" style="29" customWidth="1"/>
    <col min="10" max="10" width="11.28515625" style="29" customWidth="1"/>
    <col min="11" max="16384" width="9.140625" style="29"/>
  </cols>
  <sheetData>
    <row r="1" spans="1:6" x14ac:dyDescent="0.25">
      <c r="A1" s="74" t="s">
        <v>406</v>
      </c>
      <c r="B1" s="74"/>
      <c r="C1" s="74"/>
      <c r="D1" s="74"/>
    </row>
    <row r="3" spans="1:6" x14ac:dyDescent="0.25">
      <c r="A3" s="27" t="s">
        <v>283</v>
      </c>
      <c r="B3" s="28" t="s">
        <v>296</v>
      </c>
      <c r="C3" s="28"/>
      <c r="D3" s="28"/>
    </row>
    <row r="4" spans="1:6" x14ac:dyDescent="0.25">
      <c r="A4" s="30"/>
      <c r="B4" s="28" t="s">
        <v>284</v>
      </c>
      <c r="C4" s="28" t="s">
        <v>285</v>
      </c>
      <c r="D4" s="28" t="s">
        <v>286</v>
      </c>
    </row>
    <row r="5" spans="1:6" x14ac:dyDescent="0.25">
      <c r="A5" s="30" t="s">
        <v>57</v>
      </c>
      <c r="B5" s="30" t="s">
        <v>287</v>
      </c>
      <c r="C5" s="30">
        <v>16</v>
      </c>
      <c r="D5" s="30">
        <v>41</v>
      </c>
    </row>
    <row r="6" spans="1:6" x14ac:dyDescent="0.25">
      <c r="A6" s="30" t="s">
        <v>60</v>
      </c>
      <c r="B6" s="30" t="s">
        <v>288</v>
      </c>
      <c r="C6" s="30">
        <v>9</v>
      </c>
      <c r="D6" s="30">
        <v>23</v>
      </c>
    </row>
    <row r="7" spans="1:6" x14ac:dyDescent="0.25">
      <c r="A7" s="30" t="s">
        <v>125</v>
      </c>
      <c r="B7" s="30" t="s">
        <v>289</v>
      </c>
      <c r="C7" s="30">
        <v>1</v>
      </c>
      <c r="D7" s="30">
        <v>2.6</v>
      </c>
    </row>
    <row r="8" spans="1:6" x14ac:dyDescent="0.25">
      <c r="A8" s="30" t="s">
        <v>277</v>
      </c>
      <c r="B8" s="30" t="s">
        <v>290</v>
      </c>
      <c r="C8" s="30">
        <v>12</v>
      </c>
      <c r="D8" s="30">
        <v>30.8</v>
      </c>
    </row>
    <row r="9" spans="1:6" x14ac:dyDescent="0.25">
      <c r="A9" s="30" t="s">
        <v>278</v>
      </c>
      <c r="B9" s="30" t="s">
        <v>291</v>
      </c>
      <c r="C9" s="30">
        <v>1</v>
      </c>
      <c r="D9" s="30">
        <v>2.6</v>
      </c>
    </row>
    <row r="10" spans="1:6" x14ac:dyDescent="0.25">
      <c r="A10" s="30"/>
      <c r="B10" s="28" t="s">
        <v>279</v>
      </c>
      <c r="C10" s="28">
        <f>SUM(C5:C9)</f>
        <v>39</v>
      </c>
      <c r="D10" s="30">
        <v>100</v>
      </c>
    </row>
    <row r="11" spans="1:6" x14ac:dyDescent="0.25">
      <c r="A11" s="31"/>
      <c r="B11" s="31"/>
      <c r="C11" s="31"/>
      <c r="D11" s="31"/>
    </row>
    <row r="12" spans="1:6" x14ac:dyDescent="0.25">
      <c r="A12" s="28" t="s">
        <v>297</v>
      </c>
      <c r="B12" s="27" t="s">
        <v>4</v>
      </c>
      <c r="C12" s="28" t="s">
        <v>285</v>
      </c>
      <c r="D12" s="28" t="s">
        <v>286</v>
      </c>
    </row>
    <row r="13" spans="1:6" x14ac:dyDescent="0.25">
      <c r="A13" s="30" t="s">
        <v>57</v>
      </c>
      <c r="B13" s="45" t="s">
        <v>395</v>
      </c>
      <c r="C13" s="32">
        <v>0</v>
      </c>
      <c r="D13" s="30">
        <v>0</v>
      </c>
    </row>
    <row r="14" spans="1:6" x14ac:dyDescent="0.25">
      <c r="A14" s="30" t="s">
        <v>60</v>
      </c>
      <c r="B14" s="45" t="s">
        <v>396</v>
      </c>
      <c r="C14" s="32">
        <v>0</v>
      </c>
      <c r="D14" s="30">
        <v>0</v>
      </c>
    </row>
    <row r="15" spans="1:6" x14ac:dyDescent="0.25">
      <c r="A15" s="30" t="s">
        <v>58</v>
      </c>
      <c r="B15" s="35" t="s">
        <v>397</v>
      </c>
      <c r="C15" s="32">
        <v>39</v>
      </c>
      <c r="D15" s="30">
        <v>100</v>
      </c>
      <c r="F15" s="29" t="s">
        <v>412</v>
      </c>
    </row>
    <row r="16" spans="1:6" x14ac:dyDescent="0.25">
      <c r="A16" s="30"/>
      <c r="B16" s="46" t="s">
        <v>279</v>
      </c>
      <c r="C16" s="28">
        <f>SUM(C13:C15)</f>
        <v>39</v>
      </c>
      <c r="D16" s="30">
        <v>100</v>
      </c>
    </row>
    <row r="17" spans="1:10" x14ac:dyDescent="0.25">
      <c r="A17" s="31"/>
      <c r="B17" s="31"/>
      <c r="C17" s="31"/>
      <c r="D17" s="31"/>
      <c r="G17" s="50"/>
      <c r="H17" s="51"/>
      <c r="I17" s="50"/>
      <c r="J17" s="50"/>
    </row>
    <row r="18" spans="1:10" ht="31.5" x14ac:dyDescent="0.25">
      <c r="A18" s="28" t="s">
        <v>298</v>
      </c>
      <c r="B18" s="27" t="s">
        <v>6</v>
      </c>
      <c r="C18" s="28" t="s">
        <v>285</v>
      </c>
      <c r="D18" s="28" t="s">
        <v>286</v>
      </c>
      <c r="F18" s="29" t="s">
        <v>411</v>
      </c>
    </row>
    <row r="19" spans="1:10" x14ac:dyDescent="0.25">
      <c r="A19" s="30" t="s">
        <v>57</v>
      </c>
      <c r="B19" s="45" t="s">
        <v>299</v>
      </c>
      <c r="C19" s="30">
        <v>36</v>
      </c>
      <c r="D19" s="30">
        <v>92.3</v>
      </c>
    </row>
    <row r="20" spans="1:10" x14ac:dyDescent="0.25">
      <c r="A20" s="30" t="s">
        <v>60</v>
      </c>
      <c r="B20" s="45" t="s">
        <v>398</v>
      </c>
      <c r="C20" s="30">
        <v>3</v>
      </c>
      <c r="D20" s="30">
        <v>7.7</v>
      </c>
    </row>
    <row r="21" spans="1:10" x14ac:dyDescent="0.25">
      <c r="A21" s="30"/>
      <c r="B21" s="28" t="s">
        <v>279</v>
      </c>
      <c r="C21" s="28">
        <f>SUM(C19:C20)</f>
        <v>39</v>
      </c>
      <c r="D21" s="30">
        <v>100</v>
      </c>
    </row>
    <row r="22" spans="1:10" ht="17.25" customHeight="1" x14ac:dyDescent="0.25">
      <c r="A22" s="31"/>
      <c r="B22" s="31"/>
      <c r="C22" s="31"/>
      <c r="D22" s="31"/>
    </row>
    <row r="23" spans="1:10" ht="17.25" customHeight="1" x14ac:dyDescent="0.25">
      <c r="A23" s="28" t="s">
        <v>300</v>
      </c>
      <c r="B23" s="28" t="s">
        <v>404</v>
      </c>
      <c r="C23" s="28" t="s">
        <v>285</v>
      </c>
      <c r="D23" s="28" t="s">
        <v>286</v>
      </c>
      <c r="F23" s="76" t="s">
        <v>410</v>
      </c>
      <c r="G23" s="51"/>
      <c r="H23" s="51"/>
      <c r="I23" s="51"/>
      <c r="J23" s="51"/>
    </row>
    <row r="24" spans="1:10" ht="17.25" customHeight="1" x14ac:dyDescent="0.25">
      <c r="A24" s="30"/>
      <c r="B24" s="45" t="s">
        <v>8</v>
      </c>
      <c r="C24" s="30">
        <v>3366</v>
      </c>
      <c r="D24" s="30">
        <v>50.5</v>
      </c>
      <c r="F24" s="76"/>
      <c r="G24" s="51"/>
      <c r="H24" s="51"/>
      <c r="I24" s="51"/>
      <c r="J24" s="51"/>
    </row>
    <row r="25" spans="1:10" ht="17.25" customHeight="1" x14ac:dyDescent="0.25">
      <c r="A25" s="30"/>
      <c r="B25" s="45" t="s">
        <v>9</v>
      </c>
      <c r="C25" s="30">
        <v>3251</v>
      </c>
      <c r="D25" s="30">
        <v>48.8</v>
      </c>
      <c r="F25" s="76"/>
      <c r="G25" s="51"/>
      <c r="H25" s="51"/>
      <c r="I25" s="51"/>
      <c r="J25" s="51"/>
    </row>
    <row r="26" spans="1:10" ht="17.25" customHeight="1" x14ac:dyDescent="0.25">
      <c r="A26" s="30"/>
      <c r="B26" s="45" t="s">
        <v>403</v>
      </c>
      <c r="C26" s="30">
        <v>46</v>
      </c>
      <c r="D26" s="30">
        <v>0.7</v>
      </c>
      <c r="F26" s="76"/>
      <c r="G26" s="51"/>
      <c r="H26" s="51"/>
      <c r="I26" s="51"/>
      <c r="J26" s="51"/>
    </row>
    <row r="27" spans="1:10" ht="17.25" customHeight="1" x14ac:dyDescent="0.25">
      <c r="A27" s="30"/>
      <c r="B27" s="28" t="s">
        <v>279</v>
      </c>
      <c r="C27" s="28">
        <f>SUM(C24:C26)</f>
        <v>6663</v>
      </c>
      <c r="D27" s="30">
        <v>100</v>
      </c>
      <c r="F27" s="76"/>
      <c r="G27" s="51"/>
      <c r="H27" s="51"/>
      <c r="I27" s="51"/>
      <c r="J27" s="51"/>
    </row>
    <row r="28" spans="1:10" x14ac:dyDescent="0.25">
      <c r="A28" s="49"/>
      <c r="B28" s="31"/>
      <c r="C28" s="31"/>
      <c r="D28" s="31"/>
    </row>
    <row r="29" spans="1:10" ht="31.5" x14ac:dyDescent="0.25">
      <c r="A29" s="28" t="s">
        <v>301</v>
      </c>
      <c r="B29" s="52" t="s">
        <v>51</v>
      </c>
      <c r="C29" s="28" t="s">
        <v>285</v>
      </c>
      <c r="D29" s="28" t="s">
        <v>286</v>
      </c>
      <c r="F29" s="76" t="s">
        <v>425</v>
      </c>
    </row>
    <row r="30" spans="1:10" x14ac:dyDescent="0.25">
      <c r="A30" s="30"/>
      <c r="B30" s="53" t="s">
        <v>402</v>
      </c>
      <c r="C30" s="30">
        <v>131</v>
      </c>
      <c r="D30" s="28">
        <v>51.3</v>
      </c>
      <c r="F30" s="76"/>
    </row>
    <row r="31" spans="1:10" x14ac:dyDescent="0.25">
      <c r="A31" s="30"/>
      <c r="B31" s="53" t="s">
        <v>13</v>
      </c>
      <c r="C31" s="30">
        <v>105</v>
      </c>
      <c r="D31" s="28">
        <v>41.1</v>
      </c>
      <c r="F31" s="76"/>
    </row>
    <row r="32" spans="1:10" x14ac:dyDescent="0.25">
      <c r="A32" s="30"/>
      <c r="B32" s="45" t="s">
        <v>74</v>
      </c>
      <c r="C32" s="30">
        <v>19</v>
      </c>
      <c r="D32" s="30">
        <v>7.4</v>
      </c>
      <c r="F32" s="76"/>
    </row>
    <row r="33" spans="1:6" x14ac:dyDescent="0.25">
      <c r="A33" s="28"/>
      <c r="B33" s="28" t="s">
        <v>279</v>
      </c>
      <c r="C33" s="28">
        <f>SUM(C30:C32)</f>
        <v>255</v>
      </c>
      <c r="D33" s="28"/>
      <c r="F33" s="76"/>
    </row>
    <row r="34" spans="1:6" x14ac:dyDescent="0.25">
      <c r="A34" s="51"/>
      <c r="B34" s="51"/>
      <c r="C34" s="51"/>
      <c r="D34" s="51"/>
    </row>
    <row r="35" spans="1:6" x14ac:dyDescent="0.25">
      <c r="A35" s="74" t="s">
        <v>405</v>
      </c>
      <c r="B35" s="74"/>
      <c r="C35" s="74"/>
      <c r="D35" s="74"/>
    </row>
    <row r="36" spans="1:6" x14ac:dyDescent="0.25">
      <c r="A36" s="31"/>
      <c r="B36" s="31"/>
      <c r="C36" s="31"/>
      <c r="D36" s="31"/>
    </row>
    <row r="37" spans="1:6" ht="47.25" x14ac:dyDescent="0.25">
      <c r="A37" s="28" t="s">
        <v>302</v>
      </c>
      <c r="B37" s="27" t="s">
        <v>273</v>
      </c>
      <c r="C37" s="28" t="s">
        <v>285</v>
      </c>
      <c r="D37" s="28" t="s">
        <v>286</v>
      </c>
      <c r="F37" s="77" t="s">
        <v>416</v>
      </c>
    </row>
    <row r="38" spans="1:6" ht="31.5" x14ac:dyDescent="0.25">
      <c r="A38" s="30" t="s">
        <v>57</v>
      </c>
      <c r="B38" s="33" t="s">
        <v>303</v>
      </c>
      <c r="C38" s="30">
        <v>3</v>
      </c>
      <c r="D38" s="30">
        <v>5.7</v>
      </c>
      <c r="F38" s="77"/>
    </row>
    <row r="39" spans="1:6" ht="31.5" x14ac:dyDescent="0.25">
      <c r="A39" s="30" t="s">
        <v>60</v>
      </c>
      <c r="B39" s="33" t="s">
        <v>304</v>
      </c>
      <c r="C39" s="30">
        <v>10</v>
      </c>
      <c r="D39" s="30">
        <v>18.899999999999999</v>
      </c>
      <c r="F39" s="77"/>
    </row>
    <row r="40" spans="1:6" ht="31.5" x14ac:dyDescent="0.25">
      <c r="A40" s="30" t="s">
        <v>58</v>
      </c>
      <c r="B40" s="33" t="s">
        <v>305</v>
      </c>
      <c r="C40" s="30">
        <v>19</v>
      </c>
      <c r="D40" s="30">
        <v>35.799999999999997</v>
      </c>
      <c r="F40" s="77"/>
    </row>
    <row r="41" spans="1:6" ht="47.25" x14ac:dyDescent="0.25">
      <c r="A41" s="30" t="s">
        <v>62</v>
      </c>
      <c r="B41" s="34" t="s">
        <v>413</v>
      </c>
      <c r="C41" s="30">
        <v>16</v>
      </c>
      <c r="D41" s="30">
        <v>30.2</v>
      </c>
      <c r="F41" s="77"/>
    </row>
    <row r="42" spans="1:6" ht="78.75" x14ac:dyDescent="0.25">
      <c r="A42" s="30" t="s">
        <v>125</v>
      </c>
      <c r="B42" s="33" t="s">
        <v>415</v>
      </c>
      <c r="C42" s="30">
        <v>5</v>
      </c>
      <c r="D42" s="30">
        <v>9.4</v>
      </c>
      <c r="F42" s="77"/>
    </row>
    <row r="43" spans="1:6" x14ac:dyDescent="0.25">
      <c r="A43" s="30"/>
      <c r="B43" s="28" t="s">
        <v>279</v>
      </c>
      <c r="C43" s="28">
        <f>SUM(C38:C42)</f>
        <v>53</v>
      </c>
      <c r="D43" s="30">
        <v>100</v>
      </c>
      <c r="F43" s="77"/>
    </row>
    <row r="44" spans="1:6" x14ac:dyDescent="0.25">
      <c r="A44" s="31"/>
      <c r="B44" s="31"/>
      <c r="C44" s="31"/>
      <c r="D44" s="31"/>
    </row>
    <row r="45" spans="1:6" ht="47.25" x14ac:dyDescent="0.25">
      <c r="A45" s="28" t="s">
        <v>306</v>
      </c>
      <c r="B45" s="27" t="s">
        <v>414</v>
      </c>
      <c r="C45" s="28" t="s">
        <v>285</v>
      </c>
      <c r="D45" s="28" t="s">
        <v>286</v>
      </c>
      <c r="F45" s="77" t="s">
        <v>418</v>
      </c>
    </row>
    <row r="46" spans="1:6" ht="31.5" x14ac:dyDescent="0.25">
      <c r="A46" s="30" t="s">
        <v>57</v>
      </c>
      <c r="B46" s="35" t="s">
        <v>417</v>
      </c>
      <c r="C46" s="30">
        <v>18</v>
      </c>
      <c r="D46" s="30">
        <v>46.1</v>
      </c>
      <c r="F46" s="77"/>
    </row>
    <row r="47" spans="1:6" ht="47.25" x14ac:dyDescent="0.25">
      <c r="A47" s="30" t="s">
        <v>60</v>
      </c>
      <c r="B47" s="37" t="s">
        <v>394</v>
      </c>
      <c r="C47" s="30">
        <v>11</v>
      </c>
      <c r="D47" s="30">
        <v>28.2</v>
      </c>
      <c r="F47" s="77"/>
    </row>
    <row r="48" spans="1:6" ht="47.25" x14ac:dyDescent="0.25">
      <c r="A48" s="30"/>
      <c r="B48" s="35" t="s">
        <v>307</v>
      </c>
      <c r="C48" s="30">
        <v>10</v>
      </c>
      <c r="D48" s="30">
        <v>25.6</v>
      </c>
      <c r="F48" s="77"/>
    </row>
    <row r="49" spans="1:6" x14ac:dyDescent="0.25">
      <c r="A49" s="30"/>
      <c r="B49" s="36" t="s">
        <v>279</v>
      </c>
      <c r="C49" s="28">
        <f>SUM(C46:C48)</f>
        <v>39</v>
      </c>
      <c r="D49" s="30">
        <v>100</v>
      </c>
      <c r="F49" s="77"/>
    </row>
    <row r="50" spans="1:6" x14ac:dyDescent="0.25">
      <c r="A50" s="31"/>
      <c r="B50" s="31"/>
      <c r="C50" s="31"/>
      <c r="D50" s="31"/>
    </row>
    <row r="51" spans="1:6" ht="47.25" x14ac:dyDescent="0.25">
      <c r="A51" s="28" t="s">
        <v>308</v>
      </c>
      <c r="B51" s="27" t="s">
        <v>341</v>
      </c>
      <c r="C51" s="28" t="s">
        <v>285</v>
      </c>
      <c r="D51" s="28" t="s">
        <v>286</v>
      </c>
      <c r="F51" s="77" t="s">
        <v>428</v>
      </c>
    </row>
    <row r="52" spans="1:6" ht="31.5" x14ac:dyDescent="0.25">
      <c r="A52" s="30" t="s">
        <v>57</v>
      </c>
      <c r="B52" s="37" t="s">
        <v>419</v>
      </c>
      <c r="C52" s="30">
        <v>11</v>
      </c>
      <c r="D52" s="30">
        <v>25.5</v>
      </c>
      <c r="F52" s="77"/>
    </row>
    <row r="53" spans="1:6" ht="31.5" x14ac:dyDescent="0.25">
      <c r="A53" s="30" t="s">
        <v>60</v>
      </c>
      <c r="B53" s="37" t="s">
        <v>426</v>
      </c>
      <c r="C53" s="30">
        <v>23</v>
      </c>
      <c r="D53" s="30">
        <v>53.5</v>
      </c>
      <c r="F53" s="77"/>
    </row>
    <row r="54" spans="1:6" ht="31.5" x14ac:dyDescent="0.25">
      <c r="A54" s="30" t="s">
        <v>58</v>
      </c>
      <c r="B54" s="37" t="s">
        <v>427</v>
      </c>
      <c r="C54" s="30">
        <v>3</v>
      </c>
      <c r="D54" s="30">
        <v>7</v>
      </c>
      <c r="F54" s="77"/>
    </row>
    <row r="55" spans="1:6" x14ac:dyDescent="0.25">
      <c r="A55" s="30" t="s">
        <v>62</v>
      </c>
      <c r="B55" s="38" t="s">
        <v>74</v>
      </c>
      <c r="C55" s="30">
        <v>6</v>
      </c>
      <c r="D55" s="30">
        <v>14</v>
      </c>
      <c r="F55" s="77"/>
    </row>
    <row r="56" spans="1:6" x14ac:dyDescent="0.25">
      <c r="A56" s="30"/>
      <c r="B56" s="36" t="s">
        <v>279</v>
      </c>
      <c r="C56" s="30">
        <f>SUM(C52:C55)</f>
        <v>43</v>
      </c>
      <c r="D56" s="30">
        <v>100</v>
      </c>
      <c r="F56" s="77"/>
    </row>
    <row r="57" spans="1:6" x14ac:dyDescent="0.25">
      <c r="A57" s="31"/>
      <c r="B57" s="31"/>
      <c r="C57" s="31"/>
      <c r="D57" s="31"/>
    </row>
    <row r="58" spans="1:6" ht="31.5" x14ac:dyDescent="0.25">
      <c r="A58" s="28" t="s">
        <v>309</v>
      </c>
      <c r="B58" s="43" t="s">
        <v>420</v>
      </c>
      <c r="C58" s="28" t="s">
        <v>285</v>
      </c>
      <c r="D58" s="28" t="s">
        <v>286</v>
      </c>
      <c r="F58" s="77" t="s">
        <v>429</v>
      </c>
    </row>
    <row r="59" spans="1:6" x14ac:dyDescent="0.25">
      <c r="A59" s="30" t="s">
        <v>57</v>
      </c>
      <c r="B59" s="37" t="s">
        <v>391</v>
      </c>
      <c r="C59" s="30">
        <v>9</v>
      </c>
      <c r="D59" s="30">
        <v>23</v>
      </c>
      <c r="F59" s="77"/>
    </row>
    <row r="60" spans="1:6" x14ac:dyDescent="0.25">
      <c r="A60" s="30" t="s">
        <v>60</v>
      </c>
      <c r="B60" s="37" t="s">
        <v>392</v>
      </c>
      <c r="C60" s="30">
        <v>18</v>
      </c>
      <c r="D60" s="30">
        <v>46.1</v>
      </c>
      <c r="F60" s="77"/>
    </row>
    <row r="61" spans="1:6" x14ac:dyDescent="0.25">
      <c r="A61" s="30" t="s">
        <v>58</v>
      </c>
      <c r="B61" s="37" t="s">
        <v>393</v>
      </c>
      <c r="C61" s="30">
        <v>6</v>
      </c>
      <c r="D61" s="30">
        <v>15.4</v>
      </c>
      <c r="F61" s="77"/>
    </row>
    <row r="62" spans="1:6" x14ac:dyDescent="0.25">
      <c r="A62" s="30" t="s">
        <v>62</v>
      </c>
      <c r="B62" s="38" t="s">
        <v>379</v>
      </c>
      <c r="C62" s="30">
        <v>6</v>
      </c>
      <c r="D62" s="30">
        <v>15.4</v>
      </c>
      <c r="F62" s="77"/>
    </row>
    <row r="63" spans="1:6" x14ac:dyDescent="0.25">
      <c r="A63" s="30"/>
      <c r="B63" s="36" t="s">
        <v>279</v>
      </c>
      <c r="C63" s="30">
        <f>SUM(C59:C62)</f>
        <v>39</v>
      </c>
      <c r="D63" s="30">
        <v>100</v>
      </c>
      <c r="F63" s="77"/>
    </row>
    <row r="64" spans="1:6" x14ac:dyDescent="0.25">
      <c r="A64" s="31"/>
      <c r="B64" s="31"/>
      <c r="C64" s="31"/>
      <c r="D64" s="31"/>
    </row>
    <row r="65" spans="1:6" ht="47.25" x14ac:dyDescent="0.25">
      <c r="A65" s="28" t="s">
        <v>283</v>
      </c>
      <c r="B65" s="27" t="s">
        <v>421</v>
      </c>
      <c r="C65" s="28" t="s">
        <v>285</v>
      </c>
      <c r="D65" s="28" t="s">
        <v>286</v>
      </c>
      <c r="E65" s="57"/>
      <c r="F65" s="78" t="s">
        <v>430</v>
      </c>
    </row>
    <row r="66" spans="1:6" x14ac:dyDescent="0.25">
      <c r="A66" s="30" t="s">
        <v>57</v>
      </c>
      <c r="B66" s="37" t="s">
        <v>342</v>
      </c>
      <c r="C66" s="30">
        <v>1</v>
      </c>
      <c r="D66" s="30">
        <v>2.4</v>
      </c>
      <c r="F66" s="78"/>
    </row>
    <row r="67" spans="1:6" ht="31.5" x14ac:dyDescent="0.25">
      <c r="A67" s="30" t="s">
        <v>60</v>
      </c>
      <c r="B67" s="37" t="s">
        <v>343</v>
      </c>
      <c r="C67" s="30">
        <v>10</v>
      </c>
      <c r="D67" s="30">
        <v>23.8</v>
      </c>
      <c r="F67" s="78"/>
    </row>
    <row r="68" spans="1:6" ht="47.25" x14ac:dyDescent="0.25">
      <c r="A68" s="30" t="s">
        <v>58</v>
      </c>
      <c r="B68" s="37" t="s">
        <v>344</v>
      </c>
      <c r="C68" s="30">
        <v>10</v>
      </c>
      <c r="D68" s="30">
        <v>23.8</v>
      </c>
      <c r="F68" s="78"/>
    </row>
    <row r="69" spans="1:6" ht="47.25" x14ac:dyDescent="0.25">
      <c r="A69" s="30" t="s">
        <v>62</v>
      </c>
      <c r="B69" s="37" t="s">
        <v>345</v>
      </c>
      <c r="C69" s="30">
        <v>20</v>
      </c>
      <c r="D69" s="30">
        <v>47.6</v>
      </c>
      <c r="F69" s="78"/>
    </row>
    <row r="70" spans="1:6" x14ac:dyDescent="0.25">
      <c r="A70" s="30" t="s">
        <v>125</v>
      </c>
      <c r="B70" s="35" t="s">
        <v>74</v>
      </c>
      <c r="C70" s="30">
        <v>1</v>
      </c>
      <c r="D70" s="30">
        <v>2.4</v>
      </c>
      <c r="F70" s="78"/>
    </row>
    <row r="71" spans="1:6" x14ac:dyDescent="0.25">
      <c r="A71" s="30"/>
      <c r="B71" s="36" t="s">
        <v>279</v>
      </c>
      <c r="C71" s="30">
        <f>SUM(C66:C70)</f>
        <v>42</v>
      </c>
      <c r="D71" s="30">
        <v>100</v>
      </c>
    </row>
    <row r="72" spans="1:6" x14ac:dyDescent="0.25">
      <c r="A72" s="31"/>
      <c r="B72" s="31"/>
      <c r="C72" s="31"/>
      <c r="D72" s="31"/>
    </row>
    <row r="73" spans="1:6" ht="47.25" x14ac:dyDescent="0.25">
      <c r="A73" s="30" t="s">
        <v>310</v>
      </c>
      <c r="B73" s="27" t="s">
        <v>422</v>
      </c>
      <c r="C73" s="28" t="s">
        <v>285</v>
      </c>
      <c r="D73" s="28" t="s">
        <v>286</v>
      </c>
      <c r="F73" s="77" t="s">
        <v>431</v>
      </c>
    </row>
    <row r="74" spans="1:6" x14ac:dyDescent="0.25">
      <c r="A74" s="30" t="s">
        <v>57</v>
      </c>
      <c r="B74" s="37" t="s">
        <v>346</v>
      </c>
      <c r="C74" s="30">
        <v>4</v>
      </c>
      <c r="D74" s="30">
        <v>10.199999999999999</v>
      </c>
      <c r="F74" s="77"/>
    </row>
    <row r="75" spans="1:6" ht="31.5" x14ac:dyDescent="0.25">
      <c r="A75" s="30" t="s">
        <v>60</v>
      </c>
      <c r="B75" s="37" t="s">
        <v>347</v>
      </c>
      <c r="C75" s="30">
        <v>5</v>
      </c>
      <c r="D75" s="30">
        <v>12.8</v>
      </c>
      <c r="F75" s="77"/>
    </row>
    <row r="76" spans="1:6" ht="31.5" x14ac:dyDescent="0.25">
      <c r="A76" s="30" t="s">
        <v>58</v>
      </c>
      <c r="B76" s="37" t="s">
        <v>349</v>
      </c>
      <c r="C76" s="30">
        <v>28</v>
      </c>
      <c r="D76" s="30">
        <v>71.8</v>
      </c>
      <c r="F76" s="77"/>
    </row>
    <row r="77" spans="1:6" x14ac:dyDescent="0.25">
      <c r="A77" s="30" t="s">
        <v>62</v>
      </c>
      <c r="B77" s="35" t="s">
        <v>350</v>
      </c>
      <c r="C77" s="30">
        <v>2</v>
      </c>
      <c r="D77" s="30">
        <v>5.0999999999999996</v>
      </c>
      <c r="F77" s="77"/>
    </row>
    <row r="78" spans="1:6" x14ac:dyDescent="0.25">
      <c r="A78" s="30"/>
      <c r="B78" s="28" t="s">
        <v>279</v>
      </c>
      <c r="C78" s="28">
        <f>SUM(C74:C77)</f>
        <v>39</v>
      </c>
      <c r="D78" s="30">
        <v>100</v>
      </c>
      <c r="F78" s="77"/>
    </row>
    <row r="79" spans="1:6" x14ac:dyDescent="0.25">
      <c r="A79" s="31"/>
      <c r="B79" s="31"/>
      <c r="C79" s="31"/>
      <c r="D79" s="31"/>
    </row>
    <row r="80" spans="1:6" ht="63" x14ac:dyDescent="0.25">
      <c r="A80" s="60" t="s">
        <v>311</v>
      </c>
      <c r="B80" s="61" t="s">
        <v>423</v>
      </c>
      <c r="C80" s="60" t="s">
        <v>285</v>
      </c>
      <c r="D80" s="60" t="s">
        <v>286</v>
      </c>
    </row>
    <row r="81" spans="1:5" x14ac:dyDescent="0.25">
      <c r="A81" s="58" t="s">
        <v>57</v>
      </c>
      <c r="B81" s="62" t="s">
        <v>346</v>
      </c>
      <c r="C81" s="58">
        <v>3</v>
      </c>
      <c r="D81" s="58">
        <v>7.7</v>
      </c>
    </row>
    <row r="82" spans="1:5" ht="31.5" x14ac:dyDescent="0.25">
      <c r="A82" s="58" t="s">
        <v>60</v>
      </c>
      <c r="B82" s="62" t="s">
        <v>347</v>
      </c>
      <c r="C82" s="58">
        <v>3</v>
      </c>
      <c r="D82" s="58">
        <v>7.7</v>
      </c>
      <c r="E82" s="29" t="s">
        <v>432</v>
      </c>
    </row>
    <row r="83" spans="1:5" ht="63" x14ac:dyDescent="0.25">
      <c r="A83" s="58" t="s">
        <v>58</v>
      </c>
      <c r="B83" s="62" t="s">
        <v>348</v>
      </c>
      <c r="C83" s="58">
        <v>1</v>
      </c>
      <c r="D83" s="58">
        <v>2.6</v>
      </c>
    </row>
    <row r="84" spans="1:5" ht="31.5" x14ac:dyDescent="0.25">
      <c r="A84" s="58" t="s">
        <v>62</v>
      </c>
      <c r="B84" s="62" t="s">
        <v>349</v>
      </c>
      <c r="C84" s="58">
        <v>32</v>
      </c>
      <c r="D84" s="58">
        <v>82</v>
      </c>
    </row>
    <row r="85" spans="1:5" x14ac:dyDescent="0.25">
      <c r="A85" s="58" t="s">
        <v>125</v>
      </c>
      <c r="B85" s="63" t="s">
        <v>350</v>
      </c>
      <c r="C85" s="58">
        <v>0</v>
      </c>
      <c r="D85" s="58">
        <v>0</v>
      </c>
    </row>
    <row r="86" spans="1:5" x14ac:dyDescent="0.25">
      <c r="A86" s="58"/>
      <c r="B86" s="61" t="s">
        <v>279</v>
      </c>
      <c r="C86" s="60">
        <f>SUM(C81:C85)</f>
        <v>39</v>
      </c>
      <c r="D86" s="58">
        <v>100</v>
      </c>
    </row>
    <row r="87" spans="1:5" x14ac:dyDescent="0.25">
      <c r="A87" s="31"/>
      <c r="B87" s="31"/>
      <c r="C87" s="31"/>
      <c r="D87" s="31"/>
    </row>
    <row r="88" spans="1:5" x14ac:dyDescent="0.25">
      <c r="A88" s="31"/>
      <c r="B88" s="31"/>
      <c r="C88" s="31"/>
      <c r="D88" s="31"/>
    </row>
    <row r="89" spans="1:5" ht="47.25" x14ac:dyDescent="0.25">
      <c r="A89" s="28" t="s">
        <v>300</v>
      </c>
      <c r="B89" s="43" t="s">
        <v>33</v>
      </c>
      <c r="C89" s="28" t="s">
        <v>285</v>
      </c>
      <c r="D89" s="28" t="s">
        <v>286</v>
      </c>
    </row>
    <row r="90" spans="1:5" x14ac:dyDescent="0.25">
      <c r="A90" s="30" t="s">
        <v>57</v>
      </c>
      <c r="B90" s="37" t="s">
        <v>237</v>
      </c>
      <c r="C90" s="30">
        <v>35</v>
      </c>
      <c r="D90" s="30">
        <v>89.7</v>
      </c>
    </row>
    <row r="91" spans="1:5" x14ac:dyDescent="0.25">
      <c r="A91" s="30" t="s">
        <v>60</v>
      </c>
      <c r="B91" s="37" t="s">
        <v>317</v>
      </c>
      <c r="C91" s="30">
        <v>4</v>
      </c>
      <c r="D91" s="30">
        <v>10.199999999999999</v>
      </c>
    </row>
    <row r="92" spans="1:5" x14ac:dyDescent="0.25">
      <c r="A92" s="30"/>
      <c r="B92" s="36" t="s">
        <v>279</v>
      </c>
      <c r="C92" s="30">
        <f>SUM(C90:C91)</f>
        <v>39</v>
      </c>
      <c r="D92" s="30">
        <v>100</v>
      </c>
    </row>
    <row r="93" spans="1:5" x14ac:dyDescent="0.25">
      <c r="A93" s="31"/>
      <c r="B93" s="31"/>
      <c r="C93" s="31"/>
      <c r="D93" s="31"/>
    </row>
    <row r="94" spans="1:5" ht="78.75" x14ac:dyDescent="0.25">
      <c r="A94" s="28" t="s">
        <v>301</v>
      </c>
      <c r="B94" s="27" t="s">
        <v>20</v>
      </c>
      <c r="C94" s="28" t="s">
        <v>285</v>
      </c>
      <c r="D94" s="28" t="s">
        <v>286</v>
      </c>
    </row>
    <row r="95" spans="1:5" ht="47.25" x14ac:dyDescent="0.25">
      <c r="A95" s="30" t="s">
        <v>57</v>
      </c>
      <c r="B95" s="37" t="s">
        <v>351</v>
      </c>
      <c r="C95" s="30">
        <v>3</v>
      </c>
      <c r="D95" s="30">
        <v>7.7</v>
      </c>
    </row>
    <row r="96" spans="1:5" ht="31.5" x14ac:dyDescent="0.25">
      <c r="A96" s="30" t="s">
        <v>60</v>
      </c>
      <c r="B96" s="37" t="s">
        <v>352</v>
      </c>
      <c r="C96" s="30">
        <v>1</v>
      </c>
      <c r="D96" s="30">
        <v>2.5</v>
      </c>
    </row>
    <row r="97" spans="1:5" ht="31.5" x14ac:dyDescent="0.25">
      <c r="A97" s="30" t="s">
        <v>58</v>
      </c>
      <c r="B97" s="37" t="s">
        <v>353</v>
      </c>
      <c r="C97" s="30">
        <v>30</v>
      </c>
      <c r="D97" s="30">
        <v>77</v>
      </c>
    </row>
    <row r="98" spans="1:5" ht="47.25" x14ac:dyDescent="0.25">
      <c r="A98" s="30" t="s">
        <v>62</v>
      </c>
      <c r="B98" s="37" t="s">
        <v>354</v>
      </c>
      <c r="C98" s="30">
        <v>5</v>
      </c>
      <c r="D98" s="30">
        <v>12.8</v>
      </c>
    </row>
    <row r="99" spans="1:5" x14ac:dyDescent="0.25">
      <c r="A99" s="30"/>
      <c r="B99" s="28" t="s">
        <v>279</v>
      </c>
      <c r="C99" s="30">
        <f>SUM(C95:C98)</f>
        <v>39</v>
      </c>
      <c r="D99" s="30">
        <v>100</v>
      </c>
    </row>
    <row r="100" spans="1:5" x14ac:dyDescent="0.25">
      <c r="A100" s="31"/>
      <c r="B100" s="31"/>
      <c r="C100" s="31"/>
      <c r="D100" s="31"/>
    </row>
    <row r="101" spans="1:5" ht="47.25" x14ac:dyDescent="0.25">
      <c r="A101" s="28" t="s">
        <v>312</v>
      </c>
      <c r="B101" s="39" t="s">
        <v>23</v>
      </c>
      <c r="C101" s="40" t="s">
        <v>285</v>
      </c>
      <c r="D101" s="40" t="s">
        <v>286</v>
      </c>
    </row>
    <row r="102" spans="1:5" x14ac:dyDescent="0.25">
      <c r="A102" s="30" t="s">
        <v>57</v>
      </c>
      <c r="B102" s="37" t="s">
        <v>317</v>
      </c>
      <c r="C102" s="30">
        <v>5</v>
      </c>
      <c r="D102" s="30">
        <v>12.8</v>
      </c>
    </row>
    <row r="103" spans="1:5" x14ac:dyDescent="0.25">
      <c r="A103" s="30" t="s">
        <v>60</v>
      </c>
      <c r="B103" s="45" t="s">
        <v>237</v>
      </c>
      <c r="C103" s="30">
        <v>5</v>
      </c>
      <c r="D103" s="30">
        <v>12.8</v>
      </c>
    </row>
    <row r="104" spans="1:5" x14ac:dyDescent="0.25">
      <c r="A104" s="58" t="s">
        <v>58</v>
      </c>
      <c r="B104" s="59" t="s">
        <v>379</v>
      </c>
      <c r="C104" s="58">
        <v>29</v>
      </c>
      <c r="D104" s="58">
        <v>74.3</v>
      </c>
      <c r="E104" s="29" t="s">
        <v>424</v>
      </c>
    </row>
    <row r="105" spans="1:5" x14ac:dyDescent="0.25">
      <c r="A105" s="30"/>
      <c r="B105" s="28" t="s">
        <v>279</v>
      </c>
      <c r="C105" s="30">
        <f>SUM(C102:C104)</f>
        <v>39</v>
      </c>
      <c r="D105" s="30">
        <v>100</v>
      </c>
    </row>
    <row r="106" spans="1:5" x14ac:dyDescent="0.25">
      <c r="A106" s="31"/>
      <c r="B106" s="31"/>
      <c r="C106" s="31"/>
      <c r="D106" s="31"/>
    </row>
    <row r="107" spans="1:5" ht="78.75" x14ac:dyDescent="0.25">
      <c r="A107" s="28" t="s">
        <v>313</v>
      </c>
      <c r="B107" s="27" t="s">
        <v>389</v>
      </c>
      <c r="C107" s="28" t="s">
        <v>285</v>
      </c>
      <c r="D107" s="28" t="s">
        <v>286</v>
      </c>
    </row>
    <row r="108" spans="1:5" x14ac:dyDescent="0.25">
      <c r="A108" s="30" t="s">
        <v>57</v>
      </c>
      <c r="B108" s="37" t="s">
        <v>317</v>
      </c>
      <c r="C108" s="30">
        <v>36</v>
      </c>
      <c r="D108" s="30">
        <v>92.3</v>
      </c>
    </row>
    <row r="109" spans="1:5" x14ac:dyDescent="0.25">
      <c r="A109" s="30" t="s">
        <v>60</v>
      </c>
      <c r="B109" s="45" t="s">
        <v>237</v>
      </c>
      <c r="C109" s="30">
        <v>0</v>
      </c>
      <c r="D109" s="30">
        <v>0</v>
      </c>
    </row>
    <row r="110" spans="1:5" x14ac:dyDescent="0.25">
      <c r="A110" s="30" t="s">
        <v>58</v>
      </c>
      <c r="B110" s="45" t="s">
        <v>379</v>
      </c>
      <c r="C110" s="30">
        <v>3</v>
      </c>
      <c r="D110" s="30">
        <v>7.7</v>
      </c>
    </row>
    <row r="111" spans="1:5" x14ac:dyDescent="0.25">
      <c r="A111" s="30"/>
      <c r="B111" s="28" t="s">
        <v>279</v>
      </c>
      <c r="C111" s="28">
        <f>SUM(C108:C110)</f>
        <v>39</v>
      </c>
      <c r="D111" s="30">
        <v>100</v>
      </c>
    </row>
    <row r="112" spans="1:5" x14ac:dyDescent="0.25">
      <c r="A112" s="31"/>
      <c r="B112" s="31"/>
      <c r="C112" s="31"/>
      <c r="D112" s="31"/>
    </row>
    <row r="113" spans="1:4" ht="47.25" x14ac:dyDescent="0.25">
      <c r="A113" s="41" t="s">
        <v>314</v>
      </c>
      <c r="B113" s="39" t="s">
        <v>390</v>
      </c>
      <c r="C113" s="40" t="s">
        <v>285</v>
      </c>
      <c r="D113" s="40" t="s">
        <v>286</v>
      </c>
    </row>
    <row r="114" spans="1:4" x14ac:dyDescent="0.25">
      <c r="A114" s="30" t="s">
        <v>57</v>
      </c>
      <c r="B114" s="45" t="s">
        <v>317</v>
      </c>
      <c r="C114" s="30">
        <v>16</v>
      </c>
      <c r="D114" s="30">
        <v>41</v>
      </c>
    </row>
    <row r="115" spans="1:4" x14ac:dyDescent="0.25">
      <c r="A115" s="30" t="s">
        <v>60</v>
      </c>
      <c r="B115" s="45" t="s">
        <v>237</v>
      </c>
      <c r="C115" s="30">
        <v>23</v>
      </c>
      <c r="D115" s="30">
        <v>59</v>
      </c>
    </row>
    <row r="116" spans="1:4" x14ac:dyDescent="0.25">
      <c r="A116" s="30"/>
      <c r="B116" s="28" t="s">
        <v>279</v>
      </c>
      <c r="C116" s="28">
        <f>SUM(C114:C115)</f>
        <v>39</v>
      </c>
      <c r="D116" s="30">
        <v>100</v>
      </c>
    </row>
    <row r="117" spans="1:4" x14ac:dyDescent="0.25">
      <c r="A117" s="31"/>
      <c r="B117" s="31"/>
      <c r="C117" s="31"/>
      <c r="D117" s="31"/>
    </row>
    <row r="118" spans="1:4" ht="63" x14ac:dyDescent="0.25">
      <c r="A118" s="28" t="s">
        <v>315</v>
      </c>
      <c r="B118" s="27" t="s">
        <v>27</v>
      </c>
      <c r="C118" s="28" t="s">
        <v>285</v>
      </c>
      <c r="D118" s="28" t="s">
        <v>286</v>
      </c>
    </row>
    <row r="119" spans="1:4" x14ac:dyDescent="0.25">
      <c r="A119" s="30" t="s">
        <v>57</v>
      </c>
      <c r="B119" s="37" t="s">
        <v>237</v>
      </c>
      <c r="C119" s="30">
        <v>1</v>
      </c>
      <c r="D119" s="30">
        <v>2.5</v>
      </c>
    </row>
    <row r="120" spans="1:4" x14ac:dyDescent="0.25">
      <c r="A120" s="30" t="s">
        <v>60</v>
      </c>
      <c r="B120" s="37" t="s">
        <v>355</v>
      </c>
      <c r="C120" s="30">
        <v>36</v>
      </c>
      <c r="D120" s="30">
        <v>92.3</v>
      </c>
    </row>
    <row r="121" spans="1:4" ht="31.5" x14ac:dyDescent="0.25">
      <c r="A121" s="30" t="s">
        <v>58</v>
      </c>
      <c r="B121" s="37" t="s">
        <v>356</v>
      </c>
      <c r="C121" s="30">
        <v>2</v>
      </c>
      <c r="D121" s="30">
        <v>5.0999999999999996</v>
      </c>
    </row>
    <row r="122" spans="1:4" x14ac:dyDescent="0.25">
      <c r="A122" s="30"/>
      <c r="B122" s="42" t="s">
        <v>279</v>
      </c>
      <c r="C122" s="28">
        <f>SUM(C119:C121)</f>
        <v>39</v>
      </c>
      <c r="D122" s="30">
        <v>100</v>
      </c>
    </row>
    <row r="123" spans="1:4" x14ac:dyDescent="0.25">
      <c r="A123" s="31"/>
      <c r="B123" s="31"/>
      <c r="C123" s="31"/>
      <c r="D123" s="31"/>
    </row>
    <row r="124" spans="1:4" x14ac:dyDescent="0.25">
      <c r="A124" s="31"/>
      <c r="B124" s="31"/>
      <c r="C124" s="31"/>
      <c r="D124" s="31"/>
    </row>
    <row r="125" spans="1:4" ht="63" x14ac:dyDescent="0.25">
      <c r="A125" s="28" t="s">
        <v>316</v>
      </c>
      <c r="B125" s="43" t="s">
        <v>28</v>
      </c>
      <c r="C125" s="28" t="s">
        <v>285</v>
      </c>
      <c r="D125" s="28" t="s">
        <v>286</v>
      </c>
    </row>
    <row r="126" spans="1:4" x14ac:dyDescent="0.25">
      <c r="A126" s="30" t="s">
        <v>57</v>
      </c>
      <c r="B126" s="45" t="s">
        <v>237</v>
      </c>
      <c r="C126" s="30">
        <v>6</v>
      </c>
      <c r="D126" s="30">
        <v>5.4</v>
      </c>
    </row>
    <row r="127" spans="1:4" x14ac:dyDescent="0.25">
      <c r="A127" s="30" t="s">
        <v>60</v>
      </c>
      <c r="B127" s="45" t="s">
        <v>317</v>
      </c>
      <c r="C127" s="30">
        <v>33</v>
      </c>
      <c r="D127" s="30">
        <v>84.6</v>
      </c>
    </row>
    <row r="128" spans="1:4" x14ac:dyDescent="0.25">
      <c r="A128" s="30"/>
      <c r="B128" s="46" t="s">
        <v>279</v>
      </c>
      <c r="C128" s="28">
        <f>SUM(C126:C127)</f>
        <v>39</v>
      </c>
      <c r="D128" s="30">
        <v>100</v>
      </c>
    </row>
    <row r="129" spans="1:4" x14ac:dyDescent="0.25">
      <c r="A129" s="31"/>
      <c r="B129" s="31"/>
      <c r="C129" s="31"/>
      <c r="D129" s="31"/>
    </row>
    <row r="130" spans="1:4" ht="47.25" x14ac:dyDescent="0.25">
      <c r="A130" s="28" t="s">
        <v>318</v>
      </c>
      <c r="B130" s="27" t="s">
        <v>29</v>
      </c>
      <c r="C130" s="28" t="s">
        <v>285</v>
      </c>
      <c r="D130" s="28" t="s">
        <v>286</v>
      </c>
    </row>
    <row r="131" spans="1:4" x14ac:dyDescent="0.25">
      <c r="A131" s="30" t="s">
        <v>57</v>
      </c>
      <c r="B131" s="45" t="s">
        <v>237</v>
      </c>
      <c r="C131" s="30">
        <v>25</v>
      </c>
      <c r="D131" s="30">
        <v>64</v>
      </c>
    </row>
    <row r="132" spans="1:4" x14ac:dyDescent="0.25">
      <c r="A132" s="30" t="s">
        <v>60</v>
      </c>
      <c r="B132" s="45" t="s">
        <v>317</v>
      </c>
      <c r="C132" s="30">
        <v>14</v>
      </c>
      <c r="D132" s="30">
        <v>36</v>
      </c>
    </row>
    <row r="133" spans="1:4" x14ac:dyDescent="0.25">
      <c r="A133" s="30"/>
      <c r="B133" s="46" t="s">
        <v>279</v>
      </c>
      <c r="C133" s="28">
        <f>SUM(C131:C132)</f>
        <v>39</v>
      </c>
      <c r="D133" s="30">
        <v>100</v>
      </c>
    </row>
    <row r="134" spans="1:4" x14ac:dyDescent="0.25">
      <c r="A134" s="31"/>
      <c r="B134" s="31"/>
      <c r="C134" s="31"/>
      <c r="D134" s="31"/>
    </row>
    <row r="135" spans="1:4" ht="63" x14ac:dyDescent="0.25">
      <c r="A135" s="28" t="s">
        <v>319</v>
      </c>
      <c r="B135" s="27" t="s">
        <v>34</v>
      </c>
      <c r="C135" s="28" t="s">
        <v>285</v>
      </c>
      <c r="D135" s="28" t="s">
        <v>286</v>
      </c>
    </row>
    <row r="136" spans="1:4" x14ac:dyDescent="0.25">
      <c r="A136" s="30" t="s">
        <v>57</v>
      </c>
      <c r="B136" s="45" t="s">
        <v>237</v>
      </c>
      <c r="C136" s="30">
        <v>29</v>
      </c>
      <c r="D136" s="30">
        <v>74.3</v>
      </c>
    </row>
    <row r="137" spans="1:4" x14ac:dyDescent="0.25">
      <c r="A137" s="30" t="s">
        <v>60</v>
      </c>
      <c r="B137" s="45" t="s">
        <v>317</v>
      </c>
      <c r="C137" s="30">
        <v>10</v>
      </c>
      <c r="D137" s="30">
        <v>25.6</v>
      </c>
    </row>
    <row r="138" spans="1:4" x14ac:dyDescent="0.25">
      <c r="A138" s="30"/>
      <c r="B138" s="47" t="s">
        <v>279</v>
      </c>
      <c r="C138" s="28">
        <f>SUM(C136:C137)</f>
        <v>39</v>
      </c>
      <c r="D138" s="30">
        <v>100</v>
      </c>
    </row>
    <row r="139" spans="1:4" x14ac:dyDescent="0.25">
      <c r="A139" s="31"/>
      <c r="B139" s="31"/>
      <c r="C139" s="31"/>
      <c r="D139" s="31"/>
    </row>
    <row r="140" spans="1:4" ht="47.25" x14ac:dyDescent="0.25">
      <c r="A140" s="28" t="s">
        <v>320</v>
      </c>
      <c r="B140" s="27" t="s">
        <v>30</v>
      </c>
      <c r="C140" s="28" t="s">
        <v>285</v>
      </c>
      <c r="D140" s="28" t="s">
        <v>286</v>
      </c>
    </row>
    <row r="141" spans="1:4" x14ac:dyDescent="0.25">
      <c r="A141" s="30" t="s">
        <v>57</v>
      </c>
      <c r="B141" s="37" t="s">
        <v>357</v>
      </c>
      <c r="C141" s="30">
        <v>7</v>
      </c>
      <c r="D141" s="30">
        <v>18</v>
      </c>
    </row>
    <row r="142" spans="1:4" ht="47.25" x14ac:dyDescent="0.25">
      <c r="A142" s="30" t="s">
        <v>60</v>
      </c>
      <c r="B142" s="37" t="s">
        <v>358</v>
      </c>
      <c r="C142" s="30">
        <v>16</v>
      </c>
      <c r="D142" s="30">
        <v>41</v>
      </c>
    </row>
    <row r="143" spans="1:4" ht="47.25" x14ac:dyDescent="0.25">
      <c r="A143" s="30" t="s">
        <v>58</v>
      </c>
      <c r="B143" s="37" t="s">
        <v>359</v>
      </c>
      <c r="C143" s="30">
        <v>16</v>
      </c>
      <c r="D143" s="30">
        <v>41</v>
      </c>
    </row>
    <row r="144" spans="1:4" x14ac:dyDescent="0.25">
      <c r="A144" s="30"/>
      <c r="B144" s="43" t="s">
        <v>279</v>
      </c>
      <c r="C144" s="28">
        <f>SUM(C141:C143)</f>
        <v>39</v>
      </c>
      <c r="D144" s="30">
        <v>100</v>
      </c>
    </row>
    <row r="145" spans="1:4" x14ac:dyDescent="0.25">
      <c r="A145" s="31"/>
      <c r="B145" s="31"/>
      <c r="C145" s="31"/>
      <c r="D145" s="31"/>
    </row>
    <row r="146" spans="1:4" ht="47.25" x14ac:dyDescent="0.25">
      <c r="A146" s="28" t="s">
        <v>321</v>
      </c>
      <c r="B146" s="27" t="s">
        <v>31</v>
      </c>
      <c r="C146" s="28" t="s">
        <v>285</v>
      </c>
      <c r="D146" s="28" t="s">
        <v>286</v>
      </c>
    </row>
    <row r="147" spans="1:4" x14ac:dyDescent="0.25">
      <c r="A147" s="30" t="s">
        <v>57</v>
      </c>
      <c r="B147" s="37" t="s">
        <v>360</v>
      </c>
      <c r="C147" s="30">
        <v>12</v>
      </c>
      <c r="D147" s="30">
        <v>30.7</v>
      </c>
    </row>
    <row r="148" spans="1:4" ht="47.25" x14ac:dyDescent="0.25">
      <c r="A148" s="30" t="s">
        <v>60</v>
      </c>
      <c r="B148" s="37" t="s">
        <v>361</v>
      </c>
      <c r="C148" s="30">
        <v>1</v>
      </c>
      <c r="D148" s="30">
        <v>2.5</v>
      </c>
    </row>
    <row r="149" spans="1:4" ht="47.25" x14ac:dyDescent="0.25">
      <c r="A149" s="30" t="s">
        <v>58</v>
      </c>
      <c r="B149" s="37" t="s">
        <v>362</v>
      </c>
      <c r="C149" s="30">
        <v>26</v>
      </c>
      <c r="D149" s="30">
        <v>66.599999999999994</v>
      </c>
    </row>
    <row r="150" spans="1:4" x14ac:dyDescent="0.25">
      <c r="A150" s="30" t="s">
        <v>62</v>
      </c>
      <c r="B150" s="38" t="s">
        <v>74</v>
      </c>
      <c r="C150" s="30">
        <v>0</v>
      </c>
      <c r="D150" s="30">
        <v>0</v>
      </c>
    </row>
    <row r="151" spans="1:4" x14ac:dyDescent="0.25">
      <c r="A151" s="30"/>
      <c r="B151" s="42" t="s">
        <v>279</v>
      </c>
      <c r="C151" s="28">
        <f>SUM(C147:C150)</f>
        <v>39</v>
      </c>
      <c r="D151" s="30">
        <v>100</v>
      </c>
    </row>
    <row r="152" spans="1:4" x14ac:dyDescent="0.25">
      <c r="A152" s="31"/>
      <c r="B152" s="31"/>
      <c r="C152" s="31"/>
      <c r="D152" s="31"/>
    </row>
    <row r="153" spans="1:4" ht="110.25" x14ac:dyDescent="0.25">
      <c r="A153" s="28" t="s">
        <v>322</v>
      </c>
      <c r="B153" s="27" t="s">
        <v>32</v>
      </c>
      <c r="C153" s="28" t="s">
        <v>285</v>
      </c>
      <c r="D153" s="28" t="s">
        <v>286</v>
      </c>
    </row>
    <row r="154" spans="1:4" x14ac:dyDescent="0.25">
      <c r="A154" s="30" t="s">
        <v>57</v>
      </c>
      <c r="B154" s="37" t="s">
        <v>363</v>
      </c>
      <c r="C154" s="30">
        <v>3</v>
      </c>
      <c r="D154" s="30">
        <v>7.7</v>
      </c>
    </row>
    <row r="155" spans="1:4" ht="47.25" x14ac:dyDescent="0.25">
      <c r="A155" s="30" t="s">
        <v>60</v>
      </c>
      <c r="B155" s="37" t="s">
        <v>364</v>
      </c>
      <c r="C155" s="30">
        <v>2</v>
      </c>
      <c r="D155" s="30">
        <v>5.0999999999999996</v>
      </c>
    </row>
    <row r="156" spans="1:4" ht="31.5" x14ac:dyDescent="0.25">
      <c r="A156" s="30" t="s">
        <v>58</v>
      </c>
      <c r="B156" s="35" t="s">
        <v>365</v>
      </c>
      <c r="C156" s="30">
        <v>34</v>
      </c>
      <c r="D156" s="30">
        <v>87.1</v>
      </c>
    </row>
    <row r="157" spans="1:4" x14ac:dyDescent="0.25">
      <c r="A157" s="30"/>
      <c r="B157" s="27" t="s">
        <v>279</v>
      </c>
      <c r="C157" s="28">
        <f>SUM(C154:C156)</f>
        <v>39</v>
      </c>
      <c r="D157" s="30">
        <v>100</v>
      </c>
    </row>
    <row r="158" spans="1:4" x14ac:dyDescent="0.25">
      <c r="A158" s="31"/>
      <c r="B158" s="31"/>
      <c r="C158" s="31"/>
      <c r="D158" s="31"/>
    </row>
    <row r="159" spans="1:4" ht="63" x14ac:dyDescent="0.25">
      <c r="A159" s="28" t="s">
        <v>323</v>
      </c>
      <c r="B159" s="27" t="s">
        <v>35</v>
      </c>
      <c r="C159" s="28" t="s">
        <v>285</v>
      </c>
      <c r="D159" s="28" t="s">
        <v>286</v>
      </c>
    </row>
    <row r="160" spans="1:4" x14ac:dyDescent="0.25">
      <c r="A160" s="30" t="s">
        <v>57</v>
      </c>
      <c r="B160" s="37" t="s">
        <v>387</v>
      </c>
      <c r="C160" s="30">
        <v>7</v>
      </c>
      <c r="D160" s="30">
        <v>18</v>
      </c>
    </row>
    <row r="161" spans="1:4" ht="47.25" x14ac:dyDescent="0.25">
      <c r="A161" s="30" t="s">
        <v>60</v>
      </c>
      <c r="B161" s="37" t="s">
        <v>361</v>
      </c>
      <c r="C161" s="30">
        <v>1</v>
      </c>
      <c r="D161" s="30">
        <v>2.5</v>
      </c>
    </row>
    <row r="162" spans="1:4" ht="47.25" x14ac:dyDescent="0.25">
      <c r="A162" s="30" t="s">
        <v>58</v>
      </c>
      <c r="B162" s="37" t="s">
        <v>366</v>
      </c>
      <c r="C162" s="30">
        <v>31</v>
      </c>
      <c r="D162" s="30">
        <v>79.5</v>
      </c>
    </row>
    <row r="163" spans="1:4" x14ac:dyDescent="0.25">
      <c r="A163" s="30" t="s">
        <v>62</v>
      </c>
      <c r="B163" s="38" t="s">
        <v>74</v>
      </c>
      <c r="C163" s="30">
        <v>0</v>
      </c>
      <c r="D163" s="30">
        <v>0</v>
      </c>
    </row>
    <row r="164" spans="1:4" x14ac:dyDescent="0.25">
      <c r="A164" s="30"/>
      <c r="B164" s="36" t="s">
        <v>279</v>
      </c>
      <c r="C164" s="28">
        <f>SUM(C160:C163)</f>
        <v>39</v>
      </c>
      <c r="D164" s="30">
        <v>100</v>
      </c>
    </row>
    <row r="165" spans="1:4" x14ac:dyDescent="0.25">
      <c r="A165" s="31"/>
      <c r="B165" s="31"/>
      <c r="C165" s="31"/>
      <c r="D165" s="31"/>
    </row>
    <row r="166" spans="1:4" ht="63" x14ac:dyDescent="0.25">
      <c r="A166" s="28" t="s">
        <v>324</v>
      </c>
      <c r="B166" s="27" t="s">
        <v>325</v>
      </c>
      <c r="C166" s="28" t="s">
        <v>285</v>
      </c>
      <c r="D166" s="28" t="s">
        <v>286</v>
      </c>
    </row>
    <row r="167" spans="1:4" x14ac:dyDescent="0.25">
      <c r="A167" s="30" t="s">
        <v>57</v>
      </c>
      <c r="B167" s="38" t="s">
        <v>237</v>
      </c>
      <c r="C167" s="30">
        <v>2</v>
      </c>
      <c r="D167" s="30">
        <v>5.0999999999999996</v>
      </c>
    </row>
    <row r="168" spans="1:4" x14ac:dyDescent="0.25">
      <c r="A168" s="30" t="s">
        <v>60</v>
      </c>
      <c r="B168" s="38" t="s">
        <v>317</v>
      </c>
      <c r="C168" s="30">
        <v>37</v>
      </c>
      <c r="D168" s="30">
        <v>94.8</v>
      </c>
    </row>
    <row r="169" spans="1:4" x14ac:dyDescent="0.25">
      <c r="A169" s="30"/>
      <c r="B169" s="28" t="s">
        <v>279</v>
      </c>
      <c r="C169" s="28">
        <f>SUM(C167:C168)</f>
        <v>39</v>
      </c>
      <c r="D169" s="30">
        <v>100</v>
      </c>
    </row>
    <row r="170" spans="1:4" x14ac:dyDescent="0.25">
      <c r="A170" s="54"/>
      <c r="B170" s="55"/>
      <c r="C170" s="55"/>
      <c r="D170" s="54"/>
    </row>
    <row r="171" spans="1:4" x14ac:dyDescent="0.25">
      <c r="A171" s="75" t="s">
        <v>407</v>
      </c>
      <c r="B171" s="75"/>
      <c r="C171" s="75"/>
      <c r="D171" s="75"/>
    </row>
    <row r="172" spans="1:4" ht="78.75" x14ac:dyDescent="0.25">
      <c r="A172" s="28" t="s">
        <v>326</v>
      </c>
      <c r="B172" s="27" t="s">
        <v>37</v>
      </c>
      <c r="C172" s="28" t="s">
        <v>285</v>
      </c>
      <c r="D172" s="28" t="s">
        <v>286</v>
      </c>
    </row>
    <row r="173" spans="1:4" x14ac:dyDescent="0.25">
      <c r="A173" s="30" t="s">
        <v>57</v>
      </c>
      <c r="B173" s="38" t="s">
        <v>237</v>
      </c>
      <c r="C173" s="30">
        <v>3</v>
      </c>
      <c r="D173" s="30">
        <v>7.7</v>
      </c>
    </row>
    <row r="174" spans="1:4" x14ac:dyDescent="0.25">
      <c r="A174" s="30" t="s">
        <v>60</v>
      </c>
      <c r="B174" s="38" t="s">
        <v>317</v>
      </c>
      <c r="C174" s="30">
        <v>36</v>
      </c>
      <c r="D174" s="30">
        <v>92.3</v>
      </c>
    </row>
    <row r="175" spans="1:4" x14ac:dyDescent="0.25">
      <c r="A175" s="30"/>
      <c r="B175" s="28" t="s">
        <v>279</v>
      </c>
      <c r="C175" s="28">
        <f>SUM(C173:C174)</f>
        <v>39</v>
      </c>
      <c r="D175" s="30">
        <v>100</v>
      </c>
    </row>
    <row r="176" spans="1:4" x14ac:dyDescent="0.25">
      <c r="A176" s="31"/>
      <c r="B176" s="31"/>
      <c r="C176" s="31"/>
      <c r="D176" s="31"/>
    </row>
    <row r="177" spans="1:4" ht="94.5" x14ac:dyDescent="0.25">
      <c r="A177" s="28" t="s">
        <v>327</v>
      </c>
      <c r="B177" s="27" t="s">
        <v>38</v>
      </c>
      <c r="C177" s="28" t="s">
        <v>285</v>
      </c>
      <c r="D177" s="28" t="s">
        <v>286</v>
      </c>
    </row>
    <row r="178" spans="1:4" x14ac:dyDescent="0.25">
      <c r="A178" s="30" t="s">
        <v>57</v>
      </c>
      <c r="B178" s="38" t="s">
        <v>237</v>
      </c>
      <c r="C178" s="30">
        <v>2</v>
      </c>
      <c r="D178" s="30">
        <v>5.0999999999999996</v>
      </c>
    </row>
    <row r="179" spans="1:4" x14ac:dyDescent="0.25">
      <c r="A179" s="30" t="s">
        <v>60</v>
      </c>
      <c r="B179" s="38" t="s">
        <v>317</v>
      </c>
      <c r="C179" s="30">
        <v>37</v>
      </c>
      <c r="D179" s="30">
        <v>94.8</v>
      </c>
    </row>
    <row r="180" spans="1:4" x14ac:dyDescent="0.25">
      <c r="A180" s="30"/>
      <c r="B180" s="36" t="s">
        <v>279</v>
      </c>
      <c r="C180" s="28">
        <f>SUM(C178:C179)</f>
        <v>39</v>
      </c>
      <c r="D180" s="30">
        <v>100</v>
      </c>
    </row>
    <row r="181" spans="1:4" x14ac:dyDescent="0.25">
      <c r="A181" s="31"/>
      <c r="B181" s="41"/>
      <c r="C181" s="31"/>
      <c r="D181" s="31"/>
    </row>
    <row r="182" spans="1:4" ht="31.5" x14ac:dyDescent="0.25">
      <c r="A182" s="28" t="s">
        <v>328</v>
      </c>
      <c r="B182" s="27" t="s">
        <v>39</v>
      </c>
      <c r="C182" s="28" t="s">
        <v>285</v>
      </c>
      <c r="D182" s="28" t="s">
        <v>286</v>
      </c>
    </row>
    <row r="183" spans="1:4" x14ac:dyDescent="0.25">
      <c r="A183" s="30" t="s">
        <v>57</v>
      </c>
      <c r="B183" s="48" t="s">
        <v>367</v>
      </c>
      <c r="C183" s="30">
        <v>3</v>
      </c>
      <c r="D183" s="30">
        <v>7.7</v>
      </c>
    </row>
    <row r="184" spans="1:4" x14ac:dyDescent="0.25">
      <c r="A184" s="30" t="s">
        <v>60</v>
      </c>
      <c r="B184" s="38" t="s">
        <v>399</v>
      </c>
      <c r="C184" s="30">
        <v>31</v>
      </c>
      <c r="D184" s="30">
        <v>79.5</v>
      </c>
    </row>
    <row r="185" spans="1:4" ht="31.5" x14ac:dyDescent="0.25">
      <c r="A185" s="30" t="s">
        <v>58</v>
      </c>
      <c r="B185" s="38" t="s">
        <v>368</v>
      </c>
      <c r="C185" s="30">
        <v>3</v>
      </c>
      <c r="D185" s="30">
        <v>7.7</v>
      </c>
    </row>
    <row r="186" spans="1:4" x14ac:dyDescent="0.25">
      <c r="A186" s="30" t="s">
        <v>62</v>
      </c>
      <c r="B186" s="45" t="s">
        <v>74</v>
      </c>
      <c r="C186" s="30">
        <v>2</v>
      </c>
      <c r="D186" s="30">
        <v>5.0999999999999996</v>
      </c>
    </row>
    <row r="187" spans="1:4" x14ac:dyDescent="0.25">
      <c r="A187" s="30"/>
      <c r="B187" s="28" t="s">
        <v>279</v>
      </c>
      <c r="C187" s="28">
        <f>SUM(C183:C186)</f>
        <v>39</v>
      </c>
      <c r="D187" s="30">
        <v>100</v>
      </c>
    </row>
    <row r="188" spans="1:4" x14ac:dyDescent="0.25">
      <c r="A188" s="31"/>
      <c r="B188" s="31"/>
      <c r="C188" s="31"/>
      <c r="D188" s="31"/>
    </row>
    <row r="189" spans="1:4" ht="31.5" x14ac:dyDescent="0.25">
      <c r="A189" s="28" t="s">
        <v>329</v>
      </c>
      <c r="B189" s="27" t="s">
        <v>40</v>
      </c>
      <c r="C189" s="28" t="s">
        <v>285</v>
      </c>
      <c r="D189" s="28" t="s">
        <v>286</v>
      </c>
    </row>
    <row r="190" spans="1:4" x14ac:dyDescent="0.25">
      <c r="A190" s="30" t="s">
        <v>57</v>
      </c>
      <c r="B190" s="48" t="s">
        <v>367</v>
      </c>
      <c r="C190" s="30">
        <v>32</v>
      </c>
      <c r="D190" s="30">
        <v>82</v>
      </c>
    </row>
    <row r="191" spans="1:4" x14ac:dyDescent="0.25">
      <c r="A191" s="30" t="s">
        <v>60</v>
      </c>
      <c r="B191" s="48" t="s">
        <v>400</v>
      </c>
      <c r="C191" s="30">
        <v>0</v>
      </c>
      <c r="D191" s="30">
        <v>0</v>
      </c>
    </row>
    <row r="192" spans="1:4" x14ac:dyDescent="0.25">
      <c r="A192" s="30" t="s">
        <v>58</v>
      </c>
      <c r="B192" s="48" t="s">
        <v>401</v>
      </c>
      <c r="C192" s="30">
        <v>5</v>
      </c>
      <c r="D192" s="30">
        <v>12.8</v>
      </c>
    </row>
    <row r="193" spans="1:4" ht="31.5" x14ac:dyDescent="0.25">
      <c r="A193" s="30" t="s">
        <v>62</v>
      </c>
      <c r="B193" s="48" t="s">
        <v>369</v>
      </c>
      <c r="C193" s="30">
        <v>0</v>
      </c>
      <c r="D193" s="30">
        <v>0</v>
      </c>
    </row>
    <row r="194" spans="1:4" x14ac:dyDescent="0.25">
      <c r="A194" s="30" t="s">
        <v>125</v>
      </c>
      <c r="B194" s="38" t="s">
        <v>74</v>
      </c>
      <c r="C194" s="30">
        <v>2</v>
      </c>
      <c r="D194" s="30">
        <v>5.0999999999999996</v>
      </c>
    </row>
    <row r="195" spans="1:4" x14ac:dyDescent="0.25">
      <c r="A195" s="30"/>
      <c r="B195" s="28" t="s">
        <v>279</v>
      </c>
      <c r="C195" s="28">
        <f>SUM(C190:C194)</f>
        <v>39</v>
      </c>
      <c r="D195" s="30">
        <v>100</v>
      </c>
    </row>
    <row r="196" spans="1:4" x14ac:dyDescent="0.25">
      <c r="A196" s="31"/>
      <c r="B196" s="31"/>
      <c r="C196" s="31"/>
      <c r="D196" s="31"/>
    </row>
    <row r="197" spans="1:4" ht="47.25" x14ac:dyDescent="0.25">
      <c r="A197" s="30" t="s">
        <v>330</v>
      </c>
      <c r="B197" s="27" t="s">
        <v>331</v>
      </c>
      <c r="C197" s="28" t="s">
        <v>285</v>
      </c>
      <c r="D197" s="28" t="s">
        <v>286</v>
      </c>
    </row>
    <row r="198" spans="1:4" x14ac:dyDescent="0.25">
      <c r="A198" s="30" t="s">
        <v>57</v>
      </c>
      <c r="B198" s="38" t="s">
        <v>237</v>
      </c>
      <c r="C198" s="30">
        <v>12</v>
      </c>
      <c r="D198" s="30">
        <v>30.7</v>
      </c>
    </row>
    <row r="199" spans="1:4" x14ac:dyDescent="0.25">
      <c r="A199" s="30" t="s">
        <v>60</v>
      </c>
      <c r="B199" s="38" t="s">
        <v>317</v>
      </c>
      <c r="C199" s="30">
        <v>27</v>
      </c>
      <c r="D199" s="30">
        <v>69.2</v>
      </c>
    </row>
    <row r="200" spans="1:4" x14ac:dyDescent="0.25">
      <c r="A200" s="30"/>
      <c r="B200" s="28" t="s">
        <v>279</v>
      </c>
      <c r="C200" s="28">
        <v>39</v>
      </c>
      <c r="D200" s="30">
        <v>100</v>
      </c>
    </row>
    <row r="201" spans="1:4" x14ac:dyDescent="0.25">
      <c r="A201" s="31"/>
      <c r="B201" s="31"/>
      <c r="C201" s="31"/>
      <c r="D201" s="31"/>
    </row>
    <row r="202" spans="1:4" ht="47.25" x14ac:dyDescent="0.25">
      <c r="A202" s="28" t="s">
        <v>332</v>
      </c>
      <c r="B202" s="27" t="s">
        <v>42</v>
      </c>
      <c r="C202" s="28" t="s">
        <v>285</v>
      </c>
      <c r="D202" s="28" t="s">
        <v>286</v>
      </c>
    </row>
    <row r="203" spans="1:4" x14ac:dyDescent="0.25">
      <c r="A203" s="30" t="s">
        <v>57</v>
      </c>
      <c r="B203" s="38" t="s">
        <v>237</v>
      </c>
      <c r="C203" s="30">
        <v>0</v>
      </c>
      <c r="D203" s="30">
        <v>0</v>
      </c>
    </row>
    <row r="204" spans="1:4" x14ac:dyDescent="0.25">
      <c r="A204" s="30" t="s">
        <v>60</v>
      </c>
      <c r="B204" s="38" t="s">
        <v>317</v>
      </c>
      <c r="C204" s="30">
        <v>39</v>
      </c>
      <c r="D204" s="30">
        <v>100</v>
      </c>
    </row>
    <row r="205" spans="1:4" x14ac:dyDescent="0.25">
      <c r="A205" s="30"/>
      <c r="B205" s="28" t="s">
        <v>279</v>
      </c>
      <c r="C205" s="28">
        <v>39</v>
      </c>
      <c r="D205" s="30">
        <v>100</v>
      </c>
    </row>
    <row r="206" spans="1:4" x14ac:dyDescent="0.25">
      <c r="A206" s="31"/>
      <c r="B206" s="31"/>
      <c r="C206" s="31"/>
      <c r="D206" s="31"/>
    </row>
    <row r="207" spans="1:4" ht="31.5" x14ac:dyDescent="0.25">
      <c r="A207" s="28" t="s">
        <v>333</v>
      </c>
      <c r="B207" s="27" t="s">
        <v>43</v>
      </c>
      <c r="C207" s="28" t="s">
        <v>285</v>
      </c>
      <c r="D207" s="28" t="s">
        <v>286</v>
      </c>
    </row>
    <row r="208" spans="1:4" x14ac:dyDescent="0.25">
      <c r="A208" s="30" t="s">
        <v>57</v>
      </c>
      <c r="B208" s="48" t="s">
        <v>370</v>
      </c>
      <c r="C208" s="30">
        <v>3</v>
      </c>
      <c r="D208" s="30">
        <v>7.7</v>
      </c>
    </row>
    <row r="209" spans="1:4" x14ac:dyDescent="0.25">
      <c r="A209" s="30" t="s">
        <v>60</v>
      </c>
      <c r="B209" s="48" t="s">
        <v>371</v>
      </c>
      <c r="C209" s="30">
        <v>10</v>
      </c>
      <c r="D209" s="30">
        <v>25.6</v>
      </c>
    </row>
    <row r="210" spans="1:4" x14ac:dyDescent="0.25">
      <c r="A210" s="30" t="s">
        <v>58</v>
      </c>
      <c r="B210" s="48" t="s">
        <v>372</v>
      </c>
      <c r="C210" s="30">
        <v>11</v>
      </c>
      <c r="D210" s="30">
        <v>28.2</v>
      </c>
    </row>
    <row r="211" spans="1:4" x14ac:dyDescent="0.25">
      <c r="A211" s="30" t="s">
        <v>62</v>
      </c>
      <c r="B211" s="48" t="s">
        <v>373</v>
      </c>
      <c r="C211" s="30">
        <v>15</v>
      </c>
      <c r="D211" s="30">
        <v>38.4</v>
      </c>
    </row>
    <row r="212" spans="1:4" x14ac:dyDescent="0.25">
      <c r="A212" s="30"/>
      <c r="B212" s="36" t="s">
        <v>279</v>
      </c>
      <c r="C212" s="28">
        <v>39</v>
      </c>
      <c r="D212" s="30">
        <v>100</v>
      </c>
    </row>
    <row r="213" spans="1:4" x14ac:dyDescent="0.25">
      <c r="A213" s="31"/>
      <c r="B213" s="44"/>
      <c r="C213" s="31"/>
      <c r="D213" s="31"/>
    </row>
    <row r="214" spans="1:4" ht="47.25" x14ac:dyDescent="0.25">
      <c r="A214" s="28" t="s">
        <v>334</v>
      </c>
      <c r="B214" s="27" t="s">
        <v>44</v>
      </c>
      <c r="C214" s="28" t="s">
        <v>285</v>
      </c>
      <c r="D214" s="28" t="s">
        <v>286</v>
      </c>
    </row>
    <row r="215" spans="1:4" x14ac:dyDescent="0.25">
      <c r="A215" s="30" t="s">
        <v>57</v>
      </c>
      <c r="B215" s="48" t="s">
        <v>374</v>
      </c>
      <c r="C215" s="30">
        <v>3</v>
      </c>
      <c r="D215" s="30">
        <v>7.7</v>
      </c>
    </row>
    <row r="216" spans="1:4" ht="47.25" x14ac:dyDescent="0.25">
      <c r="A216" s="30" t="s">
        <v>60</v>
      </c>
      <c r="B216" s="48" t="s">
        <v>375</v>
      </c>
      <c r="C216" s="30">
        <v>6</v>
      </c>
      <c r="D216" s="30">
        <v>15.4</v>
      </c>
    </row>
    <row r="217" spans="1:4" ht="47.25" x14ac:dyDescent="0.25">
      <c r="A217" s="30" t="s">
        <v>58</v>
      </c>
      <c r="B217" s="48" t="s">
        <v>376</v>
      </c>
      <c r="C217" s="30">
        <v>19</v>
      </c>
      <c r="D217" s="30">
        <v>48.7</v>
      </c>
    </row>
    <row r="218" spans="1:4" ht="47.25" x14ac:dyDescent="0.25">
      <c r="A218" s="30" t="s">
        <v>62</v>
      </c>
      <c r="B218" s="48" t="s">
        <v>377</v>
      </c>
      <c r="C218" s="30">
        <v>11</v>
      </c>
      <c r="D218" s="30">
        <v>28.2</v>
      </c>
    </row>
    <row r="219" spans="1:4" x14ac:dyDescent="0.25">
      <c r="A219" s="30"/>
      <c r="B219" s="42" t="s">
        <v>279</v>
      </c>
      <c r="C219" s="28">
        <v>39</v>
      </c>
      <c r="D219" s="30">
        <v>100</v>
      </c>
    </row>
    <row r="220" spans="1:4" x14ac:dyDescent="0.25">
      <c r="A220" s="54"/>
      <c r="B220" s="56"/>
      <c r="C220" s="55"/>
      <c r="D220" s="54"/>
    </row>
    <row r="221" spans="1:4" x14ac:dyDescent="0.25">
      <c r="A221" s="75" t="s">
        <v>408</v>
      </c>
      <c r="B221" s="75"/>
      <c r="C221" s="75"/>
      <c r="D221" s="75"/>
    </row>
    <row r="222" spans="1:4" ht="94.5" x14ac:dyDescent="0.25">
      <c r="A222" s="28" t="s">
        <v>335</v>
      </c>
      <c r="B222" s="27" t="s">
        <v>45</v>
      </c>
      <c r="C222" s="28" t="s">
        <v>285</v>
      </c>
      <c r="D222" s="28" t="s">
        <v>286</v>
      </c>
    </row>
    <row r="223" spans="1:4" x14ac:dyDescent="0.25">
      <c r="A223" s="30" t="s">
        <v>57</v>
      </c>
      <c r="B223" s="45" t="s">
        <v>237</v>
      </c>
      <c r="C223" s="30">
        <v>4</v>
      </c>
      <c r="D223" s="30">
        <v>10.199999999999999</v>
      </c>
    </row>
    <row r="224" spans="1:4" x14ac:dyDescent="0.25">
      <c r="A224" s="30" t="s">
        <v>60</v>
      </c>
      <c r="B224" s="45" t="s">
        <v>317</v>
      </c>
      <c r="C224" s="30">
        <v>35</v>
      </c>
      <c r="D224" s="30">
        <v>89.7</v>
      </c>
    </row>
    <row r="225" spans="1:4" x14ac:dyDescent="0.25">
      <c r="A225" s="30"/>
      <c r="B225" s="28" t="s">
        <v>279</v>
      </c>
      <c r="C225" s="28">
        <v>39</v>
      </c>
      <c r="D225" s="30">
        <v>100</v>
      </c>
    </row>
    <row r="226" spans="1:4" x14ac:dyDescent="0.25">
      <c r="A226" s="31"/>
      <c r="B226" s="31"/>
      <c r="C226" s="31"/>
      <c r="D226" s="31"/>
    </row>
    <row r="227" spans="1:4" ht="63" x14ac:dyDescent="0.25">
      <c r="A227" s="28" t="s">
        <v>336</v>
      </c>
      <c r="B227" s="27" t="s">
        <v>46</v>
      </c>
      <c r="C227" s="28" t="s">
        <v>285</v>
      </c>
      <c r="D227" s="28" t="s">
        <v>286</v>
      </c>
    </row>
    <row r="228" spans="1:4" x14ac:dyDescent="0.25">
      <c r="A228" s="30" t="s">
        <v>57</v>
      </c>
      <c r="B228" s="48" t="s">
        <v>388</v>
      </c>
      <c r="C228" s="30">
        <v>18</v>
      </c>
      <c r="D228" s="30">
        <v>46.1</v>
      </c>
    </row>
    <row r="229" spans="1:4" ht="31.5" x14ac:dyDescent="0.25">
      <c r="A229" s="30" t="s">
        <v>60</v>
      </c>
      <c r="B229" s="48" t="s">
        <v>378</v>
      </c>
      <c r="C229" s="30">
        <v>19</v>
      </c>
      <c r="D229" s="30">
        <v>48.7</v>
      </c>
    </row>
    <row r="230" spans="1:4" x14ac:dyDescent="0.25">
      <c r="A230" s="30" t="s">
        <v>58</v>
      </c>
      <c r="B230" s="38" t="s">
        <v>74</v>
      </c>
      <c r="C230" s="30">
        <v>2</v>
      </c>
      <c r="D230" s="30">
        <v>5.0999999999999996</v>
      </c>
    </row>
    <row r="231" spans="1:4" x14ac:dyDescent="0.25">
      <c r="A231" s="30"/>
      <c r="B231" s="28" t="s">
        <v>279</v>
      </c>
      <c r="C231" s="28">
        <f>SUM(C228:C230)</f>
        <v>39</v>
      </c>
      <c r="D231" s="30">
        <v>100</v>
      </c>
    </row>
    <row r="232" spans="1:4" x14ac:dyDescent="0.25">
      <c r="A232" s="31"/>
      <c r="B232" s="31"/>
      <c r="C232" s="31"/>
      <c r="D232" s="31"/>
    </row>
    <row r="233" spans="1:4" ht="94.5" x14ac:dyDescent="0.25">
      <c r="A233" s="28" t="s">
        <v>338</v>
      </c>
      <c r="B233" s="27" t="s">
        <v>47</v>
      </c>
      <c r="C233" s="28" t="s">
        <v>285</v>
      </c>
      <c r="D233" s="28" t="s">
        <v>286</v>
      </c>
    </row>
    <row r="234" spans="1:4" x14ac:dyDescent="0.25">
      <c r="A234" s="30" t="s">
        <v>57</v>
      </c>
      <c r="B234" s="38" t="s">
        <v>237</v>
      </c>
      <c r="C234" s="30">
        <v>9</v>
      </c>
      <c r="D234" s="30">
        <v>23</v>
      </c>
    </row>
    <row r="235" spans="1:4" x14ac:dyDescent="0.25">
      <c r="A235" s="30" t="s">
        <v>60</v>
      </c>
      <c r="B235" s="38" t="s">
        <v>317</v>
      </c>
      <c r="C235" s="30">
        <v>30</v>
      </c>
      <c r="D235" s="30">
        <v>77</v>
      </c>
    </row>
    <row r="236" spans="1:4" x14ac:dyDescent="0.25">
      <c r="A236" s="30"/>
      <c r="B236" s="28" t="s">
        <v>279</v>
      </c>
      <c r="C236" s="28">
        <f>SUM(C234:C235)</f>
        <v>39</v>
      </c>
      <c r="D236" s="30">
        <v>100</v>
      </c>
    </row>
    <row r="237" spans="1:4" x14ac:dyDescent="0.25">
      <c r="A237" s="31"/>
      <c r="B237" s="31"/>
      <c r="C237" s="31"/>
      <c r="D237" s="31"/>
    </row>
    <row r="238" spans="1:4" ht="47.25" x14ac:dyDescent="0.25">
      <c r="A238" s="28" t="s">
        <v>339</v>
      </c>
      <c r="B238" s="27" t="s">
        <v>66</v>
      </c>
      <c r="C238" s="28" t="s">
        <v>285</v>
      </c>
      <c r="D238" s="28" t="s">
        <v>286</v>
      </c>
    </row>
    <row r="239" spans="1:4" x14ac:dyDescent="0.25">
      <c r="A239" s="30" t="s">
        <v>57</v>
      </c>
      <c r="B239" s="38" t="s">
        <v>379</v>
      </c>
      <c r="C239" s="30">
        <v>16</v>
      </c>
      <c r="D239" s="30">
        <v>41</v>
      </c>
    </row>
    <row r="240" spans="1:4" ht="31.5" x14ac:dyDescent="0.25">
      <c r="A240" s="30" t="s">
        <v>60</v>
      </c>
      <c r="B240" s="48" t="s">
        <v>409</v>
      </c>
      <c r="C240" s="30">
        <v>17</v>
      </c>
      <c r="D240" s="30">
        <v>43.6</v>
      </c>
    </row>
    <row r="241" spans="1:4" ht="31.5" x14ac:dyDescent="0.25">
      <c r="A241" s="30" t="s">
        <v>58</v>
      </c>
      <c r="B241" s="48" t="s">
        <v>380</v>
      </c>
      <c r="C241" s="30">
        <v>1</v>
      </c>
      <c r="D241" s="30">
        <v>2.5</v>
      </c>
    </row>
    <row r="242" spans="1:4" ht="31.5" x14ac:dyDescent="0.25">
      <c r="A242" s="30" t="s">
        <v>62</v>
      </c>
      <c r="B242" s="48" t="s">
        <v>381</v>
      </c>
      <c r="C242" s="30">
        <v>5</v>
      </c>
      <c r="D242" s="30">
        <v>12.8</v>
      </c>
    </row>
    <row r="243" spans="1:4" x14ac:dyDescent="0.25">
      <c r="A243" s="30"/>
      <c r="B243" s="28" t="s">
        <v>279</v>
      </c>
      <c r="C243" s="28">
        <f>SUM(C239:C242)</f>
        <v>39</v>
      </c>
      <c r="D243" s="30">
        <v>100</v>
      </c>
    </row>
    <row r="244" spans="1:4" x14ac:dyDescent="0.25">
      <c r="A244" s="31"/>
      <c r="B244" s="31"/>
      <c r="C244" s="31"/>
      <c r="D244" s="31"/>
    </row>
    <row r="245" spans="1:4" ht="47.25" x14ac:dyDescent="0.25">
      <c r="A245" s="28" t="s">
        <v>340</v>
      </c>
      <c r="B245" s="27" t="s">
        <v>386</v>
      </c>
      <c r="C245" s="28" t="s">
        <v>285</v>
      </c>
      <c r="D245" s="28" t="s">
        <v>286</v>
      </c>
    </row>
    <row r="246" spans="1:4" x14ac:dyDescent="0.25">
      <c r="A246" s="30" t="s">
        <v>57</v>
      </c>
      <c r="B246" s="45" t="s">
        <v>382</v>
      </c>
      <c r="C246" s="30">
        <v>3</v>
      </c>
      <c r="D246" s="30">
        <v>7</v>
      </c>
    </row>
    <row r="247" spans="1:4" x14ac:dyDescent="0.25">
      <c r="A247" s="30" t="s">
        <v>60</v>
      </c>
      <c r="B247" s="45" t="s">
        <v>383</v>
      </c>
      <c r="C247" s="30">
        <v>13</v>
      </c>
      <c r="D247" s="30">
        <v>30.2</v>
      </c>
    </row>
    <row r="248" spans="1:4" x14ac:dyDescent="0.25">
      <c r="A248" s="30" t="s">
        <v>58</v>
      </c>
      <c r="B248" s="45" t="s">
        <v>384</v>
      </c>
      <c r="C248" s="30">
        <v>0</v>
      </c>
      <c r="D248" s="30">
        <v>0</v>
      </c>
    </row>
    <row r="249" spans="1:4" x14ac:dyDescent="0.25">
      <c r="A249" s="30" t="s">
        <v>62</v>
      </c>
      <c r="B249" s="45" t="s">
        <v>385</v>
      </c>
      <c r="C249" s="30">
        <v>12</v>
      </c>
      <c r="D249" s="30">
        <v>28</v>
      </c>
    </row>
    <row r="250" spans="1:4" x14ac:dyDescent="0.25">
      <c r="A250" s="30" t="s">
        <v>125</v>
      </c>
      <c r="B250" s="45" t="s">
        <v>74</v>
      </c>
      <c r="C250" s="30">
        <v>15</v>
      </c>
      <c r="D250" s="30">
        <v>34.799999999999997</v>
      </c>
    </row>
    <row r="251" spans="1:4" x14ac:dyDescent="0.25">
      <c r="A251" s="30"/>
      <c r="B251" s="28" t="s">
        <v>279</v>
      </c>
      <c r="C251" s="28">
        <f>SUM(C246:C250)</f>
        <v>43</v>
      </c>
      <c r="D251" s="30">
        <v>100</v>
      </c>
    </row>
  </sheetData>
  <mergeCells count="12">
    <mergeCell ref="A35:D35"/>
    <mergeCell ref="A1:D1"/>
    <mergeCell ref="A221:D221"/>
    <mergeCell ref="A171:D171"/>
    <mergeCell ref="F29:F33"/>
    <mergeCell ref="F23:F27"/>
    <mergeCell ref="F37:F43"/>
    <mergeCell ref="F45:F49"/>
    <mergeCell ref="F51:F56"/>
    <mergeCell ref="F58:F63"/>
    <mergeCell ref="F65:F70"/>
    <mergeCell ref="F73:F78"/>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Sonali aadhe</dc:creator>
  <cp:lastModifiedBy>Admin</cp:lastModifiedBy>
  <dcterms:created xsi:type="dcterms:W3CDTF">2023-07-04T10:05:33Z</dcterms:created>
  <dcterms:modified xsi:type="dcterms:W3CDTF">2026-04-22T05:42:28Z</dcterms:modified>
</cp:coreProperties>
</file>